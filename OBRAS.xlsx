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SISTEMAS DESENVOLVIDOS POR LEANDRO\SISTEMA LVC WEB\"/>
    </mc:Choice>
  </mc:AlternateContent>
  <xr:revisionPtr revIDLastSave="0" documentId="13_ncr:1_{F5DE80FC-6998-4FE5-B432-26BE96088888}" xr6:coauthVersionLast="47" xr6:coauthVersionMax="47" xr10:uidLastSave="{00000000-0000-0000-0000-000000000000}"/>
  <bookViews>
    <workbookView xWindow="-28920" yWindow="-120" windowWidth="29040" windowHeight="15720" xr2:uid="{AD94D340-EAD9-4641-9722-F4A49FD1A579}"/>
  </bookViews>
  <sheets>
    <sheet name="LISTA DE OBRAS - GOVERNO ELMAN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7" i="1" l="1"/>
  <c r="E35" i="1"/>
  <c r="E37" i="1" s="1"/>
  <c r="D30" i="1"/>
  <c r="A19" i="1"/>
  <c r="A20" i="1" s="1"/>
  <c r="A21" i="1" s="1"/>
  <c r="A22" i="1" s="1"/>
  <c r="L16" i="1"/>
  <c r="E16" i="1"/>
  <c r="A6" i="1"/>
  <c r="A7" i="1" s="1"/>
  <c r="A8" i="1" s="1"/>
  <c r="A9" i="1" s="1"/>
  <c r="A10" i="1" s="1"/>
  <c r="A11" i="1" s="1"/>
  <c r="A12" i="1" s="1"/>
  <c r="A13" i="1" s="1"/>
  <c r="A14" i="1" s="1"/>
  <c r="A15" i="1" s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</calcChain>
</file>

<file path=xl/sharedStrings.xml><?xml version="1.0" encoding="utf-8"?>
<sst xmlns="http://schemas.openxmlformats.org/spreadsheetml/2006/main" count="479" uniqueCount="310">
  <si>
    <t xml:space="preserve">LISTA DE OBRAS RODOVIÁRIAS - CEARÁ DE PONTA A PONTA </t>
  </si>
  <si>
    <t>Nº</t>
  </si>
  <si>
    <t>Tipo</t>
  </si>
  <si>
    <t>ROD.</t>
  </si>
  <si>
    <t>DESCRIÇÃO</t>
  </si>
  <si>
    <t>EXT. (KM)</t>
  </si>
  <si>
    <t>MUNICÍPIO</t>
  </si>
  <si>
    <t>MACRORREGIÃO</t>
  </si>
  <si>
    <t>DISTRITO OPERACIONAL</t>
  </si>
  <si>
    <t>DATA INÍCIO
(OS)</t>
  </si>
  <si>
    <t>DATA FINAL
(EXECUÇÃO)</t>
  </si>
  <si>
    <t>SITUAÇÃO</t>
  </si>
  <si>
    <t>VALOR DO CONTRATO (R$)</t>
  </si>
  <si>
    <t>STATUS
FÍSICO 
(%)</t>
  </si>
  <si>
    <t>CONTRATOS</t>
  </si>
  <si>
    <t>MAPP</t>
  </si>
  <si>
    <t>TIPO DE PAVIMENTO</t>
  </si>
  <si>
    <t>EMPRESAS</t>
  </si>
  <si>
    <t>OBSERVAÇÕES</t>
  </si>
  <si>
    <t>EVENTO POLÍTICO</t>
  </si>
  <si>
    <t>LISTA DE SRES</t>
  </si>
  <si>
    <t>OBRAS CONCLUÍDAS 2023</t>
  </si>
  <si>
    <t>PAV.</t>
  </si>
  <si>
    <t>CE-153</t>
  </si>
  <si>
    <t>ENTR. CE-288/380 (A) (AURORA) - INGAZEIRAS</t>
  </si>
  <si>
    <t>Aurora</t>
  </si>
  <si>
    <t>CARIRI</t>
  </si>
  <si>
    <t>D.O. DE CRATO</t>
  </si>
  <si>
    <t>CONCLUÍDA</t>
  </si>
  <si>
    <t>0088/2020</t>
  </si>
  <si>
    <t>APROVADO</t>
  </si>
  <si>
    <t>TSD</t>
  </si>
  <si>
    <t>CLC - CONSTRUTORA LUIZ COSTA LTDA</t>
  </si>
  <si>
    <t>Inaugurada em 20/11/2023</t>
  </si>
  <si>
    <t>153ECE0310S0</t>
  </si>
  <si>
    <t>153ECE0330S0</t>
  </si>
  <si>
    <t>CE-547</t>
  </si>
  <si>
    <t>PAVIMENTAÇÃO DO ACESSO A ESTÁTUA DE SANTO ANTÔNIO EM BARBALHA/CE</t>
  </si>
  <si>
    <t>Barbalha</t>
  </si>
  <si>
    <t>0188/2021</t>
  </si>
  <si>
    <t>CBUQ</t>
  </si>
  <si>
    <t>CORAL - CONSTRUTORA RODOVALHO ALENCAR LTDA.</t>
  </si>
  <si>
    <t>Avaliar inauguração.</t>
  </si>
  <si>
    <t>547ECE0010S0</t>
  </si>
  <si>
    <t>CE-427</t>
  </si>
  <si>
    <t>ENTR. CE192 (CARNAUBAL) – ENTR. CE-323 (BURITI)</t>
  </si>
  <si>
    <t>Carnaubal</t>
  </si>
  <si>
    <t>SERRA DA IBIAPABA</t>
  </si>
  <si>
    <t>D.O. DE SANTA QUITÉRIA</t>
  </si>
  <si>
    <t>0247/2022</t>
  </si>
  <si>
    <t>TSS</t>
  </si>
  <si>
    <t>TERPA</t>
  </si>
  <si>
    <t>Inaugurada em 25/05/2023</t>
  </si>
  <si>
    <t>427ECE0010S0</t>
  </si>
  <si>
    <t>CE-390</t>
  </si>
  <si>
    <t>ENTR. CE-060 P/ JARDIM - ENTR. BR-116 (PENAFORTE)</t>
  </si>
  <si>
    <t>Jardim e Penaforte</t>
  </si>
  <si>
    <t>0013/2019</t>
  </si>
  <si>
    <t>CONSTRUTORA LUIZ COSTA LTDA</t>
  </si>
  <si>
    <t>Inaugurada em 03/06/2023</t>
  </si>
  <si>
    <t>390ECE0010S0</t>
  </si>
  <si>
    <t>390ECE0030S0</t>
  </si>
  <si>
    <t>390ECE0050S0</t>
  </si>
  <si>
    <t>CE-397</t>
  </si>
  <si>
    <t>ENTR.CE-152 (PALESTINA) - POÇO DO PAU</t>
  </si>
  <si>
    <t>MAURITI/ BREJO SANTO</t>
  </si>
  <si>
    <t>D.O. DE IGUATU</t>
  </si>
  <si>
    <t xml:space="preserve">       </t>
  </si>
  <si>
    <t>0116/2021</t>
  </si>
  <si>
    <t>TERPA CONSTRUÇÕES S/A</t>
  </si>
  <si>
    <t xml:space="preserve">Verificar se já foi inaugurada. - Necessária limpeza mediante agendamento - Sinalização concluída. </t>
  </si>
  <si>
    <t>397ECE0090S0</t>
  </si>
  <si>
    <t>CE-596</t>
  </si>
  <si>
    <t>BATURITÉ – CANDEIAS</t>
  </si>
  <si>
    <t>Baturité</t>
  </si>
  <si>
    <t>MACIÇO DE BATURITÉ</t>
  </si>
  <si>
    <t>D.O. DE ARACOIABA</t>
  </si>
  <si>
    <t>0174/2022</t>
  </si>
  <si>
    <t>FERREIRA CONSTRUTORA LTDA</t>
  </si>
  <si>
    <t>Inaugurada em 23/10/2023</t>
  </si>
  <si>
    <t>596ECE0010S0</t>
  </si>
  <si>
    <t>CE-348</t>
  </si>
  <si>
    <t>PARACURU - SIUPÉ</t>
  </si>
  <si>
    <t>Paracuru e São Gonçalo do Amarante</t>
  </si>
  <si>
    <t>GRANDE FORTALEZA</t>
  </si>
  <si>
    <t>D.O. DE FORTALEZA / 
D.O. DE ITAPIPOCA</t>
  </si>
  <si>
    <t>0244/2022</t>
  </si>
  <si>
    <t>CONSTRUTORA SAMARIA LTDA</t>
  </si>
  <si>
    <t xml:space="preserve">Apta a inaugurar. Sinalização concluída. </t>
  </si>
  <si>
    <t>348ECE0060S0</t>
  </si>
  <si>
    <t>CE-448</t>
  </si>
  <si>
    <t>MORADA NOVA – JUAZEIRO DE BAIXO</t>
  </si>
  <si>
    <t>Morada Nova</t>
  </si>
  <si>
    <t>VALE DO JAGUARIBE</t>
  </si>
  <si>
    <t>D.O. DE LIMOEIRO DO NORTE</t>
  </si>
  <si>
    <t>0314/2022</t>
  </si>
  <si>
    <t>CONSTRUTORA ALICERCE LTDA</t>
  </si>
  <si>
    <t>448ECE0010S0</t>
  </si>
  <si>
    <t>CE-240</t>
  </si>
  <si>
    <t>ENTR. CE-085 (PARRA) - ITAPIPOCA</t>
  </si>
  <si>
    <t>Itapipoca, Tururu e Trairi</t>
  </si>
  <si>
    <t>LITORAL OESTE / VALE DO CURU</t>
  </si>
  <si>
    <t>D.O. DE ITAPIPOCA</t>
  </si>
  <si>
    <t>0149/2021</t>
  </si>
  <si>
    <t xml:space="preserve">Necessária correçoes em garantia quinquenal - Sinalização concluída. </t>
  </si>
  <si>
    <t>240ECE0002S0</t>
  </si>
  <si>
    <t>240ECE0004S0</t>
  </si>
  <si>
    <t>DUP.</t>
  </si>
  <si>
    <t>CE-155</t>
  </si>
  <si>
    <t>PORTO DO PECÉM - ENTR. BR-222</t>
  </si>
  <si>
    <t>São Gonçalo do Amarante 
e Caucaia</t>
  </si>
  <si>
    <t>D.O. DE FORTALEZA</t>
  </si>
  <si>
    <t>0022/2019</t>
  </si>
  <si>
    <t>CONSÓRCIO CE155 - CLC/LOMACON</t>
  </si>
  <si>
    <t>Inaugurada em 09/07/2024</t>
  </si>
  <si>
    <t>155ECE0010D0</t>
  </si>
  <si>
    <t>155ECE0010E0</t>
  </si>
  <si>
    <t>155ECE0020E0</t>
  </si>
  <si>
    <t>155ECE0020D0</t>
  </si>
  <si>
    <t>155ECE0030D0</t>
  </si>
  <si>
    <t>155ECE0030E0</t>
  </si>
  <si>
    <t>155ECE0050D0</t>
  </si>
  <si>
    <t>155ECE0050E0</t>
  </si>
  <si>
    <t>REST.</t>
  </si>
  <si>
    <t>CE-380</t>
  </si>
  <si>
    <t>ENTR. BR-116 (BARRO) - CUNCAS - DIVISA CE/PB</t>
  </si>
  <si>
    <t>Barro</t>
  </si>
  <si>
    <t>0015/2020</t>
  </si>
  <si>
    <t>A. L.TEIXEIRA PINHEIRO</t>
  </si>
  <si>
    <t xml:space="preserve">Apta a inaugurar - Necessária limpeza mediante agendamento - Sinalização concluída. </t>
  </si>
  <si>
    <t>380ECE0070S0</t>
  </si>
  <si>
    <t>380ECE0090S0</t>
  </si>
  <si>
    <t>TOTAL DE OBRAS CONCLUÍDAS EM 2023</t>
  </si>
  <si>
    <t>-</t>
  </si>
  <si>
    <t>OBRAS CONCLUÍDAS 2024</t>
  </si>
  <si>
    <t>CE-085</t>
  </si>
  <si>
    <t>ITAREMA - ACARAÚ</t>
  </si>
  <si>
    <t>Itarema e Acaraú</t>
  </si>
  <si>
    <t>LITORAL NORTE</t>
  </si>
  <si>
    <t>0017/2019</t>
  </si>
  <si>
    <t>R. FURLANI ENGENHARIA LTDA</t>
  </si>
  <si>
    <t xml:space="preserve">Inaugurada em 17/10/2023 </t>
  </si>
  <si>
    <t>CE-350</t>
  </si>
  <si>
    <t>ENTR. CE-065 - TUCUNDUBA</t>
  </si>
  <si>
    <t>Maranguape</t>
  </si>
  <si>
    <t>0027/2020</t>
  </si>
  <si>
    <t>Obra física concluída - Prazo de vigência do contrato: 17/08/2024
TRECHO CONSIDERADO CONCLUÍDO EM 2023 NO FECHAMENTO DO ANO EM DEZEMBRO</t>
  </si>
  <si>
    <t>Avaliar inauguração - necessária limpeza (Situação Política do Trecho)</t>
  </si>
  <si>
    <t>GUAIÚBA - ITACIMA</t>
  </si>
  <si>
    <t>Guaiúba</t>
  </si>
  <si>
    <t>0315/2022</t>
  </si>
  <si>
    <t>Obra física concluída 
TRECHO CONSIDERADO CONCLUÍDO EM 2023 NO FECHAMENTO DO ANO EM DEZEMBRO</t>
  </si>
  <si>
    <t>Inaugurada em 14/06/2024</t>
  </si>
  <si>
    <t>REC. FUNC.</t>
  </si>
  <si>
    <t>CE-040</t>
  </si>
  <si>
    <t>ENTR. CE-402 (P/ CAMBEBA) - ENTR. CE-253 (CASCAVEL)</t>
  </si>
  <si>
    <t>Fortaleza e Cascavel</t>
  </si>
  <si>
    <t>0001/2023</t>
  </si>
  <si>
    <t>CONSÓRCIO CEARÁ III</t>
  </si>
  <si>
    <t xml:space="preserve">Avaliar </t>
  </si>
  <si>
    <t>OUTROS</t>
  </si>
  <si>
    <t>CE-065</t>
  </si>
  <si>
    <t xml:space="preserve">URBANIZAÇÃO DA CE-065 </t>
  </si>
  <si>
    <t>Mulungu</t>
  </si>
  <si>
    <t>0139/2023</t>
  </si>
  <si>
    <t>INTERTRAVADO</t>
  </si>
  <si>
    <t>ACOSTA EMPREENDIMENTOS E SERVIÇOS EIRELI</t>
  </si>
  <si>
    <t>Obra física concluída - Prazo de vigência do contrato: 03/10/2024</t>
  </si>
  <si>
    <t>Inaugurada em 06/08/24</t>
  </si>
  <si>
    <t>CE-447</t>
  </si>
  <si>
    <t>CONTORNO DE CRATEÚS</t>
  </si>
  <si>
    <t>Crateús</t>
  </si>
  <si>
    <t>SERTÃO DOS CRATEÚS</t>
  </si>
  <si>
    <t>D.O. DE CRATEÚS</t>
  </si>
  <si>
    <t>0108/2022</t>
  </si>
  <si>
    <t>COSAMPA PROJETOS E CONSTRUÇÕES LTDA</t>
  </si>
  <si>
    <t>Obra física concluída - Prazo de vigência do contrato: 07/11/2024</t>
  </si>
  <si>
    <t>JAMACARU - PORTEIRAS</t>
  </si>
  <si>
    <t>Missão Velha, Brejo Santo e Porteiras</t>
  </si>
  <si>
    <t>0115/2021</t>
  </si>
  <si>
    <t>CORAL - CONSTRUTORA RODOVALHO ALENCAR LTDA</t>
  </si>
  <si>
    <t>CE-265</t>
  </si>
  <si>
    <t>ENTR. CE-176 (MORRO REDONDO) – ENTR. CE-187 (NOVA RUSSAS)</t>
  </si>
  <si>
    <t>Nova Russas</t>
  </si>
  <si>
    <t>0063/2022</t>
  </si>
  <si>
    <t>CONSÓRCIO CONSTRAM / SILVEIRA SALLES</t>
  </si>
  <si>
    <t>Obra física concluída - Prazo de vigência do contrato: 20/08/2024</t>
  </si>
  <si>
    <t>Inaugurada em 23/07/24</t>
  </si>
  <si>
    <t xml:space="preserve">OBRA DE SUBSTITUIÇÃO DO TELHAMENTO DO TERMINAL DE PASSAGEIROS E SERVIÇOS DO AEROPORTO REGIONAL </t>
  </si>
  <si>
    <t>Aracati</t>
  </si>
  <si>
    <t>LITORAL LESTE</t>
  </si>
  <si>
    <t>0011/2023</t>
  </si>
  <si>
    <t>SINTRA ENGENHARIA E CONSULTORIA LTDA</t>
  </si>
  <si>
    <t>Aeroporto - Obra física concluída - Prazo de vigência do contrato:  13/10/2024</t>
  </si>
  <si>
    <t>CE-276</t>
  </si>
  <si>
    <t>ENTR. CE- 138 (IRACEMA) BASTIÕES</t>
  </si>
  <si>
    <t>Iracema</t>
  </si>
  <si>
    <t>0107/2023</t>
  </si>
  <si>
    <t>Obra física concluída - Prazo de vigência do contrato: 29/08/2024</t>
  </si>
  <si>
    <t>CE-253/CE-192</t>
  </si>
  <si>
    <t>PAVIMENTAÇÃO CE-253 E ACESSO BETÂNIA</t>
  </si>
  <si>
    <t>Ibiapina</t>
  </si>
  <si>
    <t>0348/2022</t>
  </si>
  <si>
    <t>CONSÓRCIO CETUS ARN CONSTRUÇÕES</t>
  </si>
  <si>
    <t>Obra física concluída - Prazo de vigência do contrato: 09/07/2024</t>
  </si>
  <si>
    <t>Inaugurada em 04/07/24</t>
  </si>
  <si>
    <t>CE-480</t>
  </si>
  <si>
    <t>ASSARÉ - CASA DO PATATIVA DE ASSARÉ</t>
  </si>
  <si>
    <t>Assaré</t>
  </si>
  <si>
    <t>0126/2022</t>
  </si>
  <si>
    <t>Obra Concluída -Sinalização Concluída.</t>
  </si>
  <si>
    <t>ACESSO</t>
  </si>
  <si>
    <t>Missão Velha</t>
  </si>
  <si>
    <t>0313/2023</t>
  </si>
  <si>
    <t>BB DE VASCONCELOS SERVICOS DE CONSTRUCOES LTDA</t>
  </si>
  <si>
    <t>CE-060</t>
  </si>
  <si>
    <t>TRECHO I (INÍCIO AVENIDA PERIMETRAL -
ENTR. CE 375) E TRECHO II (ENTR. CE 375 - PONTE SOBRE RIO JAGUARIBE)</t>
  </si>
  <si>
    <t>Iguatu</t>
  </si>
  <si>
    <t>CENTRO SUL</t>
  </si>
  <si>
    <t>0174/2021</t>
  </si>
  <si>
    <t>CONSÓRCIO VALE SERTÃO CENTRAL</t>
  </si>
  <si>
    <t>Aguardando aditivo de supressão</t>
  </si>
  <si>
    <t>OBRA CONCLUIDA - NECESSARIO DEFINIR SOBRE A SOLUÇÃO DO INICIO E FINAL DO TRECHO</t>
  </si>
  <si>
    <t>CE-341</t>
  </si>
  <si>
    <t>REQUALIFICAÇÃO DA ENTRADA PRINCIPAL DE PARACURU – CE</t>
  </si>
  <si>
    <t>Paracuru</t>
  </si>
  <si>
    <t>0136/2023</t>
  </si>
  <si>
    <t>CONPATE ENGENHARIA LTDA</t>
  </si>
  <si>
    <t>Interferências com a Cagece (notificação para correção) - 43022.009290/2024-97</t>
  </si>
  <si>
    <t>Necessário intervenção da CAGECE</t>
  </si>
  <si>
    <t>CE-279</t>
  </si>
  <si>
    <t>ENTR. BR-020 - UMBUZEIRO - PARAMBU</t>
  </si>
  <si>
    <t>Parambú</t>
  </si>
  <si>
    <t>SERTÃO DOS INHAMUNS</t>
  </si>
  <si>
    <t>D.O. DE TAUÁ</t>
  </si>
  <si>
    <t>0163/2022</t>
  </si>
  <si>
    <t xml:space="preserve">Apta a inaugurar. Sinalização Horizontal concluída e vertical em execução. </t>
  </si>
  <si>
    <t>IMPLANTAÇÃO DO CANAL DO RIACHO SECO</t>
  </si>
  <si>
    <t>0343/2022</t>
  </si>
  <si>
    <t>CONSORCIO V2 / ESTRUTURAL / JLV 2</t>
  </si>
  <si>
    <t>Aditivo final (R$ 72.421,29) para assinatura</t>
  </si>
  <si>
    <t>PASSAGEM MOLHADA - DISTRITO DE CAJAZEIRAS</t>
  </si>
  <si>
    <t>Senador Pompeu</t>
  </si>
  <si>
    <t>SERTÃO CENTRAL</t>
  </si>
  <si>
    <t>D.O. DE QUIXERAMOBIM</t>
  </si>
  <si>
    <t>0137/2023</t>
  </si>
  <si>
    <t>DATERRA CONSTRUCOES E SERVICOS LTDA</t>
  </si>
  <si>
    <t>Medição final - Estava aguardando o Aditivo</t>
  </si>
  <si>
    <t>CE-090</t>
  </si>
  <si>
    <t>ICARAÍ - CUMBUCO</t>
  </si>
  <si>
    <t>Caucaia</t>
  </si>
  <si>
    <t>0081/2023</t>
  </si>
  <si>
    <t>Aditivo R$ 547.963,74 (Ala de contenção da ponte antiga)
Aguardando abertura do sistema para ser inserida a última medição</t>
  </si>
  <si>
    <t>Inaugurada em 02/12/2024</t>
  </si>
  <si>
    <t>TOTAL DE OBRAS CONCLUÍDAS EM 2024</t>
  </si>
  <si>
    <t>Obra física concluída - Prazo de vigência do contrato 11/09/2024
TRECHO CONSIDERADO CONCLUÍDO EM 2023 NO FECHAMENTO DO ANO EM DEZEMBRO</t>
  </si>
  <si>
    <t xml:space="preserve"> -5.590298°</t>
  </si>
  <si>
    <t>-39.376141°</t>
  </si>
  <si>
    <t xml:space="preserve"> -7.315597°</t>
  </si>
  <si>
    <t xml:space="preserve"> -39.299533°</t>
  </si>
  <si>
    <t xml:space="preserve"> -4.571497°</t>
  </si>
  <si>
    <t xml:space="preserve"> -37.806720°</t>
  </si>
  <si>
    <t>085ECE0360D0</t>
  </si>
  <si>
    <t>085ECE0370D0</t>
  </si>
  <si>
    <t>085ECE0360E0</t>
  </si>
  <si>
    <t>085ECE0370E0</t>
  </si>
  <si>
    <t>085ECE0380D0</t>
  </si>
  <si>
    <t>085ECE0380E0</t>
  </si>
  <si>
    <t>350ECE0004S0</t>
  </si>
  <si>
    <t>350ECE0002S0</t>
  </si>
  <si>
    <t>155ECE0150S0</t>
  </si>
  <si>
    <t>040ECE0040D0</t>
  </si>
  <si>
    <t>040ECE0040E0</t>
  </si>
  <si>
    <t>040ECE0050D0</t>
  </si>
  <si>
    <t>040ECE0050E0</t>
  </si>
  <si>
    <t>040ECE0060D0</t>
  </si>
  <si>
    <t>040ECE0060E0</t>
  </si>
  <si>
    <t>040ECE0070D0</t>
  </si>
  <si>
    <t>040ECE0070E0</t>
  </si>
  <si>
    <t>040ECE0090D0</t>
  </si>
  <si>
    <t>040ECE0090E0</t>
  </si>
  <si>
    <t>040ECE0110D0</t>
  </si>
  <si>
    <t>040ECE0110E0</t>
  </si>
  <si>
    <t>040ECE0130D0</t>
  </si>
  <si>
    <t>040ECE0130E0</t>
  </si>
  <si>
    <t>040ECE0150D0</t>
  </si>
  <si>
    <t>040ECE0150E0</t>
  </si>
  <si>
    <t>040ECE0170D0</t>
  </si>
  <si>
    <t>040ECE0170E0</t>
  </si>
  <si>
    <t>040ECE0180D0</t>
  </si>
  <si>
    <t>040ECE0180E0</t>
  </si>
  <si>
    <t>065ECE0210S0</t>
  </si>
  <si>
    <t>469ECE0020S0</t>
  </si>
  <si>
    <t>447ECE0030S0</t>
  </si>
  <si>
    <t>447ECE0010S0</t>
  </si>
  <si>
    <t>153ECE0420S0</t>
  </si>
  <si>
    <t>153ECE0410S0</t>
  </si>
  <si>
    <t>265ECE0350S0</t>
  </si>
  <si>
    <t>276ECE0060S0</t>
  </si>
  <si>
    <t>253ECE0535S0</t>
  </si>
  <si>
    <t>253ECE0540S0</t>
  </si>
  <si>
    <t>480ECE0010S0</t>
  </si>
  <si>
    <t>153ECE0380S0</t>
  </si>
  <si>
    <t>060ECE0570S0</t>
  </si>
  <si>
    <t>060ECE0590S0</t>
  </si>
  <si>
    <t>341ECE0005S0</t>
  </si>
  <si>
    <t>279ECE0010S0</t>
  </si>
  <si>
    <t>279ECE0030S0</t>
  </si>
  <si>
    <t>090ECE0050E0</t>
  </si>
  <si>
    <t>090ECE0050D0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</si>
</sst>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$&quot;\ * #,##0.00_-;\-&quot;R$&quot;\ * #,##0.00_-;_-&quot;R$&quot;\ * &quot;-&quot;??_-;_-@"/>
    <numFmt numFmtId="165" formatCode="_([$R$ -416]* #,##0.00_);_([$R$ -416]* \(#,##0.00\);_([$R$ -416]* &quot;-&quot;??_);_(@_)"/>
  </numFmts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</font>
    <font>
      <sz val="11"/>
      <name val="Calibri"/>
      <family val="2"/>
    </font>
    <font>
      <sz val="11"/>
      <color rgb="FFFFFFFF"/>
      <name val="Calibri"/>
      <family val="2"/>
    </font>
    <font>
      <sz val="11"/>
      <color theme="0"/>
      <name val="Calibri"/>
      <family val="2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4F6128"/>
        <bgColor rgb="FF4F6128"/>
      </patternFill>
    </fill>
    <fill>
      <patternFill patternType="solid">
        <fgColor rgb="FF76923C"/>
        <bgColor rgb="FF76923C"/>
      </patternFill>
    </fill>
    <fill>
      <patternFill patternType="solid">
        <fgColor rgb="FFFFFFFF"/>
        <bgColor rgb="FFFFFFFF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vertical="center" wrapText="1"/>
    </xf>
    <xf numFmtId="2" fontId="2" fillId="0" borderId="7" xfId="0" applyNumberFormat="1" applyFont="1" applyBorder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 wrapText="1"/>
    </xf>
    <xf numFmtId="14" fontId="2" fillId="0" borderId="7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2" fontId="2" fillId="0" borderId="7" xfId="0" applyNumberFormat="1" applyFont="1" applyBorder="1" applyAlignment="1">
      <alignment horizontal="center" vertical="center" wrapText="1"/>
    </xf>
    <xf numFmtId="4" fontId="2" fillId="0" borderId="7" xfId="0" applyNumberFormat="1" applyFont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/>
    </xf>
    <xf numFmtId="4" fontId="6" fillId="2" borderId="7" xfId="0" applyNumberFormat="1" applyFont="1" applyFill="1" applyBorder="1" applyAlignment="1">
      <alignment horizontal="center" vertical="center"/>
    </xf>
    <xf numFmtId="164" fontId="6" fillId="2" borderId="7" xfId="0" applyNumberFormat="1" applyFont="1" applyFill="1" applyBorder="1" applyAlignment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 wrapText="1"/>
    </xf>
    <xf numFmtId="2" fontId="2" fillId="4" borderId="7" xfId="0" applyNumberFormat="1" applyFont="1" applyFill="1" applyBorder="1" applyAlignment="1">
      <alignment horizontal="center" vertical="center"/>
    </xf>
    <xf numFmtId="14" fontId="2" fillId="4" borderId="7" xfId="0" applyNumberFormat="1" applyFont="1" applyFill="1" applyBorder="1" applyAlignment="1">
      <alignment horizontal="center" vertical="center" wrapText="1"/>
    </xf>
    <xf numFmtId="14" fontId="2" fillId="4" borderId="7" xfId="0" applyNumberFormat="1" applyFont="1" applyFill="1" applyBorder="1" applyAlignment="1">
      <alignment horizontal="center" vertical="center"/>
    </xf>
    <xf numFmtId="164" fontId="2" fillId="4" borderId="7" xfId="0" applyNumberFormat="1" applyFont="1" applyFill="1" applyBorder="1" applyAlignment="1">
      <alignment horizontal="center" vertical="center"/>
    </xf>
    <xf numFmtId="0" fontId="2" fillId="4" borderId="7" xfId="0" applyFont="1" applyFill="1" applyBorder="1" applyAlignment="1">
      <alignment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165" fontId="2" fillId="4" borderId="7" xfId="0" applyNumberFormat="1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vertical="center"/>
    </xf>
    <xf numFmtId="0" fontId="1" fillId="0" borderId="11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5" fillId="2" borderId="12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643BF-2D66-4378-9FBC-1112384ACBA3}">
  <sheetPr>
    <outlinePr summaryBelow="0" summaryRight="0"/>
  </sheetPr>
  <dimension ref="A1:AS37"/>
  <sheetViews>
    <sheetView tabSelected="1" topLeftCell="Q1" zoomScale="55" zoomScaleNormal="55" workbookViewId="0">
      <pane ySplit="4" topLeftCell="A5" activePane="bottomLeft" state="frozen"/>
      <selection pane="bottomLeft" activeCell="AB31" sqref="A1:AQ31"/>
    </sheetView>
  </sheetViews>
  <sheetFormatPr defaultColWidth="14.42578125" defaultRowHeight="15" customHeight="1" x14ac:dyDescent="0.25"/>
  <cols>
    <col min="1" max="1" width="4.28515625" style="15" bestFit="1" customWidth="1"/>
    <col min="2" max="3" width="13.7109375" style="15" bestFit="1" customWidth="1"/>
    <col min="4" max="4" width="47.140625" style="15" bestFit="1" customWidth="1"/>
    <col min="5" max="5" width="11.85546875" style="15" bestFit="1" customWidth="1"/>
    <col min="6" max="6" width="15" style="15" bestFit="1" customWidth="1"/>
    <col min="7" max="7" width="18.7109375" style="15" customWidth="1"/>
    <col min="8" max="8" width="21.140625" style="15" bestFit="1" customWidth="1"/>
    <col min="9" max="9" width="13.7109375" style="15" bestFit="1" customWidth="1"/>
    <col min="10" max="10" width="15" style="15" bestFit="1" customWidth="1"/>
    <col min="11" max="11" width="15.140625" style="15" bestFit="1" customWidth="1"/>
    <col min="12" max="12" width="25.5703125" style="15" bestFit="1" customWidth="1"/>
    <col min="13" max="13" width="10" style="15" bestFit="1" customWidth="1"/>
    <col min="14" max="14" width="15" style="15" bestFit="1" customWidth="1"/>
    <col min="15" max="15" width="8" style="15" bestFit="1" customWidth="1"/>
    <col min="16" max="16" width="13.85546875" style="15" bestFit="1" customWidth="1"/>
    <col min="17" max="17" width="14.42578125" style="15"/>
    <col min="18" max="18" width="39.5703125" style="15" bestFit="1" customWidth="1"/>
    <col min="19" max="19" width="51" style="15" bestFit="1" customWidth="1"/>
    <col min="20" max="20" width="42.5703125" style="15" customWidth="1"/>
    <col min="21" max="21" width="18" style="15" bestFit="1" customWidth="1"/>
    <col min="22" max="23" width="17.85546875" style="15" bestFit="1" customWidth="1"/>
    <col min="24" max="24" width="17.5703125" style="15" bestFit="1" customWidth="1"/>
    <col min="25" max="25" width="18" style="15" bestFit="1" customWidth="1"/>
    <col min="26" max="27" width="17.85546875" style="15" bestFit="1" customWidth="1"/>
    <col min="28" max="28" width="17.5703125" style="15" bestFit="1" customWidth="1"/>
    <col min="29" max="29" width="18" style="15" bestFit="1" customWidth="1"/>
    <col min="30" max="30" width="17.85546875" style="15" bestFit="1" customWidth="1"/>
    <col min="31" max="31" width="16.7109375" style="15" bestFit="1" customWidth="1"/>
    <col min="32" max="32" width="16.5703125" style="15" bestFit="1" customWidth="1"/>
    <col min="33" max="33" width="17.5703125" style="15" bestFit="1" customWidth="1"/>
    <col min="34" max="35" width="17" style="15" bestFit="1" customWidth="1"/>
    <col min="36" max="36" width="16.7109375" style="15" bestFit="1" customWidth="1"/>
    <col min="37" max="37" width="17" style="15" bestFit="1" customWidth="1"/>
    <col min="38" max="38" width="16.7109375" style="15" bestFit="1" customWidth="1"/>
    <col min="39" max="39" width="17.5703125" style="15" bestFit="1" customWidth="1"/>
    <col min="40" max="40" width="17" style="15" bestFit="1" customWidth="1"/>
    <col min="41" max="16384" width="14.42578125" style="15"/>
  </cols>
  <sheetData>
    <row r="1" spans="1:45" x14ac:dyDescent="0.25">
      <c r="A1" s="1" t="s">
        <v>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7"/>
    </row>
    <row r="2" spans="1:45" x14ac:dyDescent="0.25">
      <c r="A2" s="48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50"/>
    </row>
    <row r="3" spans="1:45" ht="45" x14ac:dyDescent="0.25">
      <c r="A3" s="2" t="s">
        <v>1</v>
      </c>
      <c r="B3" s="3" t="s">
        <v>2</v>
      </c>
      <c r="C3" s="3" t="s">
        <v>3</v>
      </c>
      <c r="D3" s="4" t="s">
        <v>4</v>
      </c>
      <c r="E3" s="4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5" t="s">
        <v>13</v>
      </c>
      <c r="N3" s="4" t="s">
        <v>14</v>
      </c>
      <c r="O3" s="4" t="s">
        <v>15</v>
      </c>
      <c r="P3" s="4" t="s">
        <v>11</v>
      </c>
      <c r="Q3" s="5" t="s">
        <v>16</v>
      </c>
      <c r="R3" s="4" t="s">
        <v>17</v>
      </c>
      <c r="S3" s="5" t="s">
        <v>18</v>
      </c>
      <c r="T3" s="5" t="s">
        <v>19</v>
      </c>
      <c r="U3" s="44" t="s">
        <v>20</v>
      </c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6"/>
      <c r="AS3" s="6"/>
    </row>
    <row r="4" spans="1:45" x14ac:dyDescent="0.25">
      <c r="A4" s="53" t="s">
        <v>21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54"/>
      <c r="Y4" s="54"/>
      <c r="Z4" s="54"/>
      <c r="AA4" s="54"/>
      <c r="AB4" s="54"/>
      <c r="AC4" s="54"/>
      <c r="AD4" s="54"/>
      <c r="AE4" s="54"/>
      <c r="AF4" s="54"/>
      <c r="AG4" s="54"/>
      <c r="AH4" s="54"/>
      <c r="AI4" s="54"/>
      <c r="AJ4" s="54"/>
      <c r="AK4" s="54"/>
      <c r="AL4" s="54"/>
      <c r="AM4" s="54"/>
      <c r="AN4" s="54"/>
      <c r="AO4" s="54"/>
      <c r="AP4" s="54"/>
      <c r="AQ4" s="54"/>
      <c r="AR4" s="6"/>
      <c r="AS4" s="6"/>
    </row>
    <row r="5" spans="1:45" ht="45" customHeight="1" x14ac:dyDescent="0.25">
      <c r="A5" s="7">
        <v>1</v>
      </c>
      <c r="B5" s="8" t="s">
        <v>22</v>
      </c>
      <c r="C5" s="9" t="s">
        <v>23</v>
      </c>
      <c r="D5" s="10" t="s">
        <v>24</v>
      </c>
      <c r="E5" s="11">
        <v>19.399999999999999</v>
      </c>
      <c r="F5" s="9" t="s">
        <v>25</v>
      </c>
      <c r="G5" s="9" t="s">
        <v>26</v>
      </c>
      <c r="H5" s="9" t="s">
        <v>27</v>
      </c>
      <c r="I5" s="12">
        <v>44202</v>
      </c>
      <c r="J5" s="13">
        <v>44977</v>
      </c>
      <c r="K5" s="14" t="s">
        <v>28</v>
      </c>
      <c r="L5" s="14">
        <v>25241358.190000001</v>
      </c>
      <c r="M5" s="8">
        <v>100</v>
      </c>
      <c r="N5" s="8" t="s">
        <v>29</v>
      </c>
      <c r="O5" s="8">
        <v>701</v>
      </c>
      <c r="P5" s="8" t="s">
        <v>30</v>
      </c>
      <c r="Q5" s="9" t="s">
        <v>31</v>
      </c>
      <c r="R5" s="9" t="s">
        <v>32</v>
      </c>
      <c r="S5" s="9"/>
      <c r="T5" s="38" t="s">
        <v>33</v>
      </c>
      <c r="U5" s="42" t="s">
        <v>34</v>
      </c>
      <c r="V5" s="42" t="s">
        <v>35</v>
      </c>
      <c r="W5" s="42"/>
      <c r="X5" s="42"/>
      <c r="Y5" s="42"/>
      <c r="Z5" s="42"/>
      <c r="AA5" s="42"/>
      <c r="AB5" s="42"/>
      <c r="AC5" s="43"/>
      <c r="AD5" s="43"/>
      <c r="AE5" s="43"/>
      <c r="AF5" s="43"/>
      <c r="AG5" s="43"/>
      <c r="AH5" s="43"/>
      <c r="AI5" s="43"/>
      <c r="AJ5" s="43"/>
      <c r="AK5" s="43"/>
      <c r="AL5" s="43"/>
      <c r="AM5" s="43"/>
      <c r="AN5" s="43"/>
      <c r="AO5" s="43"/>
      <c r="AP5" s="43"/>
      <c r="AQ5" s="43"/>
      <c r="AR5" s="16"/>
      <c r="AS5" s="16"/>
    </row>
    <row r="6" spans="1:45" ht="45" customHeight="1" x14ac:dyDescent="0.25">
      <c r="A6" s="7">
        <f t="shared" ref="A6:A15" si="0">A5+1</f>
        <v>2</v>
      </c>
      <c r="B6" s="8" t="s">
        <v>22</v>
      </c>
      <c r="C6" s="8" t="s">
        <v>36</v>
      </c>
      <c r="D6" s="10" t="s">
        <v>37</v>
      </c>
      <c r="E6" s="11">
        <v>1.44</v>
      </c>
      <c r="F6" s="9" t="s">
        <v>38</v>
      </c>
      <c r="G6" s="9" t="s">
        <v>26</v>
      </c>
      <c r="H6" s="9" t="s">
        <v>27</v>
      </c>
      <c r="I6" s="12">
        <v>44476</v>
      </c>
      <c r="J6" s="13">
        <v>45001</v>
      </c>
      <c r="K6" s="14" t="s">
        <v>28</v>
      </c>
      <c r="L6" s="14">
        <v>10309408.66</v>
      </c>
      <c r="M6" s="8">
        <v>100</v>
      </c>
      <c r="N6" s="8" t="s">
        <v>39</v>
      </c>
      <c r="O6" s="8">
        <v>1343</v>
      </c>
      <c r="P6" s="8" t="s">
        <v>30</v>
      </c>
      <c r="Q6" s="17" t="s">
        <v>40</v>
      </c>
      <c r="R6" s="9" t="s">
        <v>41</v>
      </c>
      <c r="S6" s="9"/>
      <c r="T6" s="38" t="s">
        <v>42</v>
      </c>
      <c r="U6" s="42" t="s">
        <v>43</v>
      </c>
      <c r="V6" s="42"/>
      <c r="W6" s="42"/>
      <c r="X6" s="42"/>
      <c r="Y6" s="42"/>
      <c r="Z6" s="42"/>
      <c r="AA6" s="42"/>
      <c r="AB6" s="42"/>
      <c r="AC6" s="43"/>
      <c r="AD6" s="43"/>
      <c r="AE6" s="43"/>
      <c r="AF6" s="43"/>
      <c r="AG6" s="43"/>
      <c r="AH6" s="43"/>
      <c r="AI6" s="43"/>
      <c r="AJ6" s="43"/>
      <c r="AK6" s="43"/>
      <c r="AL6" s="43"/>
      <c r="AM6" s="43"/>
      <c r="AN6" s="43"/>
      <c r="AO6" s="43"/>
      <c r="AP6" s="43"/>
      <c r="AQ6" s="43"/>
      <c r="AR6" s="16"/>
      <c r="AS6" s="16"/>
    </row>
    <row r="7" spans="1:45" ht="45" customHeight="1" x14ac:dyDescent="0.25">
      <c r="A7" s="7">
        <f t="shared" si="0"/>
        <v>3</v>
      </c>
      <c r="B7" s="8" t="s">
        <v>22</v>
      </c>
      <c r="C7" s="8" t="s">
        <v>44</v>
      </c>
      <c r="D7" s="10" t="s">
        <v>45</v>
      </c>
      <c r="E7" s="11">
        <v>9.19</v>
      </c>
      <c r="F7" s="9" t="s">
        <v>46</v>
      </c>
      <c r="G7" s="9" t="s">
        <v>47</v>
      </c>
      <c r="H7" s="9" t="s">
        <v>48</v>
      </c>
      <c r="I7" s="12">
        <v>44739</v>
      </c>
      <c r="J7" s="13">
        <v>44974</v>
      </c>
      <c r="K7" s="14" t="s">
        <v>28</v>
      </c>
      <c r="L7" s="14">
        <v>4488234.5</v>
      </c>
      <c r="M7" s="8">
        <v>100</v>
      </c>
      <c r="N7" s="8" t="s">
        <v>49</v>
      </c>
      <c r="O7" s="8">
        <v>1459</v>
      </c>
      <c r="P7" s="8" t="s">
        <v>30</v>
      </c>
      <c r="Q7" s="8" t="s">
        <v>50</v>
      </c>
      <c r="R7" s="8" t="s">
        <v>51</v>
      </c>
      <c r="S7" s="9"/>
      <c r="T7" s="38" t="s">
        <v>52</v>
      </c>
      <c r="U7" s="42" t="s">
        <v>53</v>
      </c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16"/>
      <c r="AS7" s="16"/>
    </row>
    <row r="8" spans="1:45" ht="45" customHeight="1" x14ac:dyDescent="0.25">
      <c r="A8" s="7">
        <f t="shared" si="0"/>
        <v>4</v>
      </c>
      <c r="B8" s="8" t="s">
        <v>22</v>
      </c>
      <c r="C8" s="8" t="s">
        <v>54</v>
      </c>
      <c r="D8" s="10" t="s">
        <v>55</v>
      </c>
      <c r="E8" s="11">
        <v>31.89</v>
      </c>
      <c r="F8" s="9" t="s">
        <v>56</v>
      </c>
      <c r="G8" s="9" t="s">
        <v>26</v>
      </c>
      <c r="H8" s="9" t="s">
        <v>27</v>
      </c>
      <c r="I8" s="13">
        <v>44117</v>
      </c>
      <c r="J8" s="13">
        <v>45005</v>
      </c>
      <c r="K8" s="14" t="s">
        <v>28</v>
      </c>
      <c r="L8" s="14">
        <v>30968183.440000001</v>
      </c>
      <c r="M8" s="8">
        <v>100</v>
      </c>
      <c r="N8" s="8" t="s">
        <v>57</v>
      </c>
      <c r="O8" s="8">
        <v>532</v>
      </c>
      <c r="P8" s="8" t="s">
        <v>30</v>
      </c>
      <c r="Q8" s="8" t="s">
        <v>31</v>
      </c>
      <c r="R8" s="8" t="s">
        <v>58</v>
      </c>
      <c r="S8" s="9"/>
      <c r="T8" s="38" t="s">
        <v>59</v>
      </c>
      <c r="U8" s="42" t="s">
        <v>60</v>
      </c>
      <c r="V8" s="42" t="s">
        <v>61</v>
      </c>
      <c r="W8" s="42" t="s">
        <v>62</v>
      </c>
      <c r="X8" s="42"/>
      <c r="Y8" s="42"/>
      <c r="Z8" s="42"/>
      <c r="AA8" s="42"/>
      <c r="AB8" s="42"/>
      <c r="AC8" s="42"/>
      <c r="AD8" s="42"/>
      <c r="AE8" s="42"/>
      <c r="AF8" s="42"/>
      <c r="AG8" s="42"/>
      <c r="AH8" s="42"/>
      <c r="AI8" s="42"/>
      <c r="AJ8" s="42"/>
      <c r="AK8" s="42"/>
      <c r="AL8" s="42"/>
      <c r="AM8" s="42"/>
      <c r="AN8" s="42"/>
      <c r="AO8" s="42"/>
      <c r="AP8" s="42"/>
      <c r="AQ8" s="42"/>
      <c r="AR8" s="16"/>
      <c r="AS8" s="16"/>
    </row>
    <row r="9" spans="1:45" ht="45" customHeight="1" x14ac:dyDescent="0.25">
      <c r="A9" s="7">
        <f t="shared" si="0"/>
        <v>5</v>
      </c>
      <c r="B9" s="8" t="s">
        <v>22</v>
      </c>
      <c r="C9" s="8" t="s">
        <v>63</v>
      </c>
      <c r="D9" s="10" t="s">
        <v>64</v>
      </c>
      <c r="E9" s="11">
        <v>12.64</v>
      </c>
      <c r="F9" s="18" t="s">
        <v>65</v>
      </c>
      <c r="G9" s="9" t="s">
        <v>26</v>
      </c>
      <c r="H9" s="9" t="s">
        <v>66</v>
      </c>
      <c r="I9" s="9" t="s">
        <v>67</v>
      </c>
      <c r="J9" s="13">
        <v>45046</v>
      </c>
      <c r="K9" s="14" t="s">
        <v>28</v>
      </c>
      <c r="L9" s="14">
        <v>13747621.09</v>
      </c>
      <c r="M9" s="8">
        <v>100</v>
      </c>
      <c r="N9" s="8" t="s">
        <v>68</v>
      </c>
      <c r="O9" s="8">
        <v>564</v>
      </c>
      <c r="P9" s="8" t="s">
        <v>30</v>
      </c>
      <c r="Q9" s="8" t="s">
        <v>31</v>
      </c>
      <c r="R9" s="8" t="s">
        <v>69</v>
      </c>
      <c r="S9" s="9"/>
      <c r="T9" s="38" t="s">
        <v>70</v>
      </c>
      <c r="U9" s="42" t="s">
        <v>71</v>
      </c>
      <c r="V9" s="42"/>
      <c r="W9" s="42"/>
      <c r="X9" s="42"/>
      <c r="Y9" s="42"/>
      <c r="Z9" s="42"/>
      <c r="AA9" s="42"/>
      <c r="AB9" s="42"/>
      <c r="AC9" s="43"/>
      <c r="AD9" s="43"/>
      <c r="AE9" s="43"/>
      <c r="AF9" s="43"/>
      <c r="AG9" s="43"/>
      <c r="AH9" s="43"/>
      <c r="AI9" s="43"/>
      <c r="AJ9" s="43"/>
      <c r="AK9" s="43"/>
      <c r="AL9" s="43"/>
      <c r="AM9" s="43"/>
      <c r="AN9" s="43"/>
      <c r="AO9" s="43"/>
      <c r="AP9" s="43"/>
      <c r="AQ9" s="43"/>
      <c r="AR9" s="16"/>
      <c r="AS9" s="16"/>
    </row>
    <row r="10" spans="1:45" ht="45" customHeight="1" x14ac:dyDescent="0.25">
      <c r="A10" s="7">
        <f t="shared" si="0"/>
        <v>6</v>
      </c>
      <c r="B10" s="8" t="s">
        <v>22</v>
      </c>
      <c r="C10" s="8" t="s">
        <v>72</v>
      </c>
      <c r="D10" s="10" t="s">
        <v>73</v>
      </c>
      <c r="E10" s="11">
        <v>7.9</v>
      </c>
      <c r="F10" s="9" t="s">
        <v>74</v>
      </c>
      <c r="G10" s="9" t="s">
        <v>75</v>
      </c>
      <c r="H10" s="9" t="s">
        <v>76</v>
      </c>
      <c r="I10" s="12">
        <v>44662</v>
      </c>
      <c r="J10" s="13">
        <v>45172</v>
      </c>
      <c r="K10" s="14" t="s">
        <v>28</v>
      </c>
      <c r="L10" s="14">
        <v>5172732.1399999997</v>
      </c>
      <c r="M10" s="8">
        <v>100</v>
      </c>
      <c r="N10" s="8" t="s">
        <v>77</v>
      </c>
      <c r="O10" s="8">
        <v>1906</v>
      </c>
      <c r="P10" s="8" t="s">
        <v>30</v>
      </c>
      <c r="Q10" s="8" t="s">
        <v>50</v>
      </c>
      <c r="R10" s="8" t="s">
        <v>78</v>
      </c>
      <c r="S10" s="19"/>
      <c r="T10" s="38" t="s">
        <v>79</v>
      </c>
      <c r="U10" s="42" t="s">
        <v>80</v>
      </c>
      <c r="V10" s="42"/>
      <c r="W10" s="42"/>
      <c r="X10" s="42"/>
      <c r="Y10" s="42"/>
      <c r="Z10" s="42"/>
      <c r="AA10" s="42"/>
      <c r="AB10" s="42"/>
      <c r="AC10" s="43"/>
      <c r="AD10" s="43"/>
      <c r="AE10" s="43"/>
      <c r="AF10" s="43"/>
      <c r="AG10" s="43"/>
      <c r="AH10" s="43"/>
      <c r="AI10" s="43"/>
      <c r="AJ10" s="43"/>
      <c r="AK10" s="43"/>
      <c r="AL10" s="43"/>
      <c r="AM10" s="43"/>
      <c r="AN10" s="43"/>
      <c r="AO10" s="43"/>
      <c r="AP10" s="43"/>
      <c r="AQ10" s="43"/>
      <c r="AR10" s="16"/>
      <c r="AS10" s="16"/>
    </row>
    <row r="11" spans="1:45" ht="45" customHeight="1" x14ac:dyDescent="0.25">
      <c r="A11" s="7">
        <f t="shared" si="0"/>
        <v>7</v>
      </c>
      <c r="B11" s="8" t="s">
        <v>22</v>
      </c>
      <c r="C11" s="8" t="s">
        <v>81</v>
      </c>
      <c r="D11" s="10" t="s">
        <v>82</v>
      </c>
      <c r="E11" s="11">
        <v>8.9499999999999993</v>
      </c>
      <c r="F11" s="9" t="s">
        <v>83</v>
      </c>
      <c r="G11" s="9" t="s">
        <v>84</v>
      </c>
      <c r="H11" s="9" t="s">
        <v>85</v>
      </c>
      <c r="I11" s="12">
        <v>44756</v>
      </c>
      <c r="J11" s="13">
        <v>45103</v>
      </c>
      <c r="K11" s="14" t="s">
        <v>28</v>
      </c>
      <c r="L11" s="14">
        <v>6909282.04</v>
      </c>
      <c r="M11" s="8">
        <v>100</v>
      </c>
      <c r="N11" s="8" t="s">
        <v>86</v>
      </c>
      <c r="O11" s="8">
        <v>1420</v>
      </c>
      <c r="P11" s="8" t="s">
        <v>30</v>
      </c>
      <c r="Q11" s="8" t="s">
        <v>50</v>
      </c>
      <c r="R11" s="8" t="s">
        <v>87</v>
      </c>
      <c r="S11" s="19"/>
      <c r="T11" s="38" t="s">
        <v>88</v>
      </c>
      <c r="U11" s="42" t="s">
        <v>89</v>
      </c>
      <c r="V11" s="42"/>
      <c r="W11" s="42"/>
      <c r="X11" s="42"/>
      <c r="Y11" s="42"/>
      <c r="Z11" s="42"/>
      <c r="AA11" s="42"/>
      <c r="AB11" s="42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16"/>
      <c r="AS11" s="16"/>
    </row>
    <row r="12" spans="1:45" ht="45" customHeight="1" x14ac:dyDescent="0.25">
      <c r="A12" s="7">
        <f t="shared" si="0"/>
        <v>8</v>
      </c>
      <c r="B12" s="8" t="s">
        <v>22</v>
      </c>
      <c r="C12" s="8" t="s">
        <v>90</v>
      </c>
      <c r="D12" s="10" t="s">
        <v>91</v>
      </c>
      <c r="E12" s="11">
        <v>23.42</v>
      </c>
      <c r="F12" s="9" t="s">
        <v>92</v>
      </c>
      <c r="G12" s="9" t="s">
        <v>93</v>
      </c>
      <c r="H12" s="9" t="s">
        <v>94</v>
      </c>
      <c r="I12" s="12">
        <v>44803</v>
      </c>
      <c r="J12" s="13">
        <v>45169</v>
      </c>
      <c r="K12" s="14" t="s">
        <v>28</v>
      </c>
      <c r="L12" s="14">
        <v>14968145.01</v>
      </c>
      <c r="M12" s="8">
        <v>100</v>
      </c>
      <c r="N12" s="8" t="s">
        <v>95</v>
      </c>
      <c r="O12" s="8">
        <v>1409</v>
      </c>
      <c r="P12" s="8" t="s">
        <v>30</v>
      </c>
      <c r="Q12" s="8" t="s">
        <v>50</v>
      </c>
      <c r="R12" s="8" t="s">
        <v>96</v>
      </c>
      <c r="S12" s="19"/>
      <c r="T12" s="38" t="s">
        <v>88</v>
      </c>
      <c r="U12" s="42" t="s">
        <v>97</v>
      </c>
      <c r="V12" s="42"/>
      <c r="W12" s="42"/>
      <c r="X12" s="42"/>
      <c r="Y12" s="42"/>
      <c r="Z12" s="42"/>
      <c r="AA12" s="42"/>
      <c r="AB12" s="42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16"/>
      <c r="AS12" s="16"/>
    </row>
    <row r="13" spans="1:45" ht="45" customHeight="1" x14ac:dyDescent="0.25">
      <c r="A13" s="7">
        <f t="shared" si="0"/>
        <v>9</v>
      </c>
      <c r="B13" s="8" t="s">
        <v>22</v>
      </c>
      <c r="C13" s="9" t="s">
        <v>98</v>
      </c>
      <c r="D13" s="10" t="s">
        <v>99</v>
      </c>
      <c r="E13" s="11">
        <v>29.13</v>
      </c>
      <c r="F13" s="20" t="s">
        <v>100</v>
      </c>
      <c r="G13" s="21" t="s">
        <v>101</v>
      </c>
      <c r="H13" s="9" t="s">
        <v>102</v>
      </c>
      <c r="I13" s="12">
        <v>44438</v>
      </c>
      <c r="J13" s="13">
        <v>45038</v>
      </c>
      <c r="K13" s="14" t="s">
        <v>28</v>
      </c>
      <c r="L13" s="14">
        <v>28491100.920000002</v>
      </c>
      <c r="M13" s="8">
        <v>100</v>
      </c>
      <c r="N13" s="8" t="s">
        <v>103</v>
      </c>
      <c r="O13" s="8">
        <v>853</v>
      </c>
      <c r="P13" s="8" t="s">
        <v>30</v>
      </c>
      <c r="Q13" s="8" t="s">
        <v>31</v>
      </c>
      <c r="R13" s="8" t="s">
        <v>87</v>
      </c>
      <c r="S13" s="19"/>
      <c r="T13" s="38" t="s">
        <v>104</v>
      </c>
      <c r="U13" s="42" t="s">
        <v>105</v>
      </c>
      <c r="V13" s="42" t="s">
        <v>106</v>
      </c>
      <c r="W13" s="42"/>
      <c r="X13" s="42"/>
      <c r="Y13" s="42"/>
      <c r="Z13" s="42"/>
      <c r="AA13" s="42"/>
      <c r="AB13" s="42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16"/>
      <c r="AS13" s="16"/>
    </row>
    <row r="14" spans="1:45" ht="45" customHeight="1" x14ac:dyDescent="0.25">
      <c r="A14" s="7">
        <f t="shared" si="0"/>
        <v>10</v>
      </c>
      <c r="B14" s="8" t="s">
        <v>107</v>
      </c>
      <c r="C14" s="8" t="s">
        <v>108</v>
      </c>
      <c r="D14" s="10" t="s">
        <v>109</v>
      </c>
      <c r="E14" s="11">
        <v>20.100000000000001</v>
      </c>
      <c r="F14" s="20" t="s">
        <v>110</v>
      </c>
      <c r="G14" s="9" t="s">
        <v>84</v>
      </c>
      <c r="H14" s="9" t="s">
        <v>111</v>
      </c>
      <c r="I14" s="13">
        <v>43696</v>
      </c>
      <c r="J14" s="13">
        <v>45127</v>
      </c>
      <c r="K14" s="14" t="s">
        <v>28</v>
      </c>
      <c r="L14" s="14">
        <v>79590696</v>
      </c>
      <c r="M14" s="8">
        <v>100</v>
      </c>
      <c r="N14" s="8" t="s">
        <v>112</v>
      </c>
      <c r="O14" s="8">
        <v>316</v>
      </c>
      <c r="P14" s="8" t="s">
        <v>30</v>
      </c>
      <c r="Q14" s="8" t="s">
        <v>40</v>
      </c>
      <c r="R14" s="8" t="s">
        <v>113</v>
      </c>
      <c r="S14" s="19"/>
      <c r="T14" s="38" t="s">
        <v>114</v>
      </c>
      <c r="U14" s="42" t="s">
        <v>115</v>
      </c>
      <c r="V14" s="42" t="s">
        <v>116</v>
      </c>
      <c r="W14" s="42" t="s">
        <v>117</v>
      </c>
      <c r="X14" s="42" t="s">
        <v>118</v>
      </c>
      <c r="Y14" s="42" t="s">
        <v>119</v>
      </c>
      <c r="Z14" s="42" t="s">
        <v>120</v>
      </c>
      <c r="AA14" s="42" t="s">
        <v>121</v>
      </c>
      <c r="AB14" s="42" t="s">
        <v>122</v>
      </c>
      <c r="AC14" s="43"/>
      <c r="AD14" s="43"/>
      <c r="AE14" s="43"/>
      <c r="AF14" s="43"/>
      <c r="AG14" s="43"/>
      <c r="AH14" s="43"/>
      <c r="AI14" s="43"/>
      <c r="AJ14" s="43"/>
      <c r="AK14" s="43"/>
      <c r="AL14" s="43"/>
      <c r="AM14" s="43"/>
      <c r="AN14" s="43"/>
      <c r="AO14" s="43"/>
      <c r="AP14" s="43"/>
      <c r="AQ14" s="43"/>
      <c r="AR14" s="16"/>
      <c r="AS14" s="16"/>
    </row>
    <row r="15" spans="1:45" ht="45" customHeight="1" x14ac:dyDescent="0.25">
      <c r="A15" s="7">
        <f t="shared" si="0"/>
        <v>11</v>
      </c>
      <c r="B15" s="8" t="s">
        <v>123</v>
      </c>
      <c r="C15" s="9" t="s">
        <v>124</v>
      </c>
      <c r="D15" s="10" t="s">
        <v>125</v>
      </c>
      <c r="E15" s="11">
        <v>15</v>
      </c>
      <c r="F15" s="20" t="s">
        <v>126</v>
      </c>
      <c r="G15" s="9" t="s">
        <v>26</v>
      </c>
      <c r="H15" s="9" t="s">
        <v>27</v>
      </c>
      <c r="I15" s="12">
        <v>43896</v>
      </c>
      <c r="J15" s="13">
        <v>45036</v>
      </c>
      <c r="K15" s="14" t="s">
        <v>28</v>
      </c>
      <c r="L15" s="14">
        <v>15356889.92</v>
      </c>
      <c r="M15" s="8">
        <v>100</v>
      </c>
      <c r="N15" s="8" t="s">
        <v>127</v>
      </c>
      <c r="O15" s="8">
        <v>639</v>
      </c>
      <c r="P15" s="8" t="s">
        <v>30</v>
      </c>
      <c r="Q15" s="8" t="s">
        <v>40</v>
      </c>
      <c r="R15" s="8" t="s">
        <v>128</v>
      </c>
      <c r="S15" s="19"/>
      <c r="T15" s="38" t="s">
        <v>129</v>
      </c>
      <c r="U15" s="42" t="s">
        <v>130</v>
      </c>
      <c r="V15" s="42" t="s">
        <v>131</v>
      </c>
      <c r="W15" s="42"/>
      <c r="X15" s="42"/>
      <c r="Y15" s="42"/>
      <c r="Z15" s="42"/>
      <c r="AA15" s="42"/>
      <c r="AB15" s="42"/>
      <c r="AC15" s="43"/>
      <c r="AD15" s="43"/>
      <c r="AE15" s="43"/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16"/>
      <c r="AS15" s="16"/>
    </row>
    <row r="16" spans="1:45" ht="19.5" customHeight="1" x14ac:dyDescent="0.25">
      <c r="A16" s="22" t="s">
        <v>132</v>
      </c>
      <c r="B16" s="51"/>
      <c r="C16" s="51"/>
      <c r="D16" s="52"/>
      <c r="E16" s="23">
        <f>SUM(E5:E15)</f>
        <v>179.06</v>
      </c>
      <c r="F16" s="4"/>
      <c r="G16" s="4"/>
      <c r="H16" s="4"/>
      <c r="I16" s="4"/>
      <c r="J16" s="4"/>
      <c r="K16" s="24"/>
      <c r="L16" s="24">
        <f>SUM(L5:L15)</f>
        <v>235243651.91</v>
      </c>
      <c r="M16" s="57" t="s">
        <v>133</v>
      </c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16"/>
      <c r="AS16" s="16"/>
    </row>
    <row r="17" spans="1:43" x14ac:dyDescent="0.25">
      <c r="A17" s="55" t="s">
        <v>134</v>
      </c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  <c r="AA17" s="56"/>
      <c r="AB17" s="56"/>
      <c r="AC17" s="56"/>
      <c r="AD17" s="56"/>
      <c r="AE17" s="56"/>
      <c r="AF17" s="56"/>
      <c r="AG17" s="56"/>
      <c r="AH17" s="56"/>
      <c r="AI17" s="56"/>
      <c r="AJ17" s="56"/>
      <c r="AK17" s="56"/>
      <c r="AL17" s="56"/>
      <c r="AM17" s="56"/>
      <c r="AN17" s="56"/>
      <c r="AO17" s="56"/>
      <c r="AP17" s="56"/>
      <c r="AQ17" s="56"/>
    </row>
    <row r="18" spans="1:43" ht="60" x14ac:dyDescent="0.25">
      <c r="A18" s="7">
        <v>12</v>
      </c>
      <c r="B18" s="8" t="s">
        <v>107</v>
      </c>
      <c r="C18" s="9" t="s">
        <v>135</v>
      </c>
      <c r="D18" s="10" t="s">
        <v>136</v>
      </c>
      <c r="E18" s="11">
        <v>24.29</v>
      </c>
      <c r="F18" s="9" t="s">
        <v>137</v>
      </c>
      <c r="G18" s="9" t="s">
        <v>138</v>
      </c>
      <c r="H18" s="9" t="s">
        <v>102</v>
      </c>
      <c r="I18" s="13">
        <v>43686</v>
      </c>
      <c r="J18" s="13">
        <v>45367</v>
      </c>
      <c r="K18" s="14" t="s">
        <v>28</v>
      </c>
      <c r="L18" s="26">
        <v>66589935.5</v>
      </c>
      <c r="M18" s="8">
        <v>100</v>
      </c>
      <c r="N18" s="8" t="s">
        <v>139</v>
      </c>
      <c r="O18" s="8">
        <v>559</v>
      </c>
      <c r="P18" s="8" t="s">
        <v>30</v>
      </c>
      <c r="Q18" s="8" t="s">
        <v>40</v>
      </c>
      <c r="R18" s="8" t="s">
        <v>140</v>
      </c>
      <c r="S18" s="9" t="s">
        <v>255</v>
      </c>
      <c r="T18" s="38" t="s">
        <v>141</v>
      </c>
      <c r="U18" s="42" t="s">
        <v>262</v>
      </c>
      <c r="V18" s="42" t="s">
        <v>263</v>
      </c>
      <c r="W18" s="42" t="s">
        <v>264</v>
      </c>
      <c r="X18" s="42" t="s">
        <v>265</v>
      </c>
      <c r="Y18" s="42" t="s">
        <v>266</v>
      </c>
      <c r="Z18" s="42" t="s">
        <v>267</v>
      </c>
      <c r="AA18" s="42"/>
      <c r="AB18" s="42"/>
      <c r="AC18" s="42"/>
      <c r="AD18" s="42"/>
      <c r="AE18" s="42"/>
      <c r="AF18" s="42"/>
      <c r="AG18" s="42"/>
      <c r="AH18" s="42"/>
      <c r="AI18" s="42"/>
      <c r="AJ18" s="42"/>
      <c r="AK18" s="42"/>
      <c r="AL18" s="42"/>
      <c r="AM18" s="42"/>
      <c r="AN18" s="42"/>
      <c r="AO18" s="42"/>
      <c r="AP18" s="42"/>
      <c r="AQ18" s="42"/>
    </row>
    <row r="19" spans="1:43" ht="60" x14ac:dyDescent="0.25">
      <c r="A19" s="7">
        <f t="shared" ref="A19:A36" si="1">A18+1</f>
        <v>13</v>
      </c>
      <c r="B19" s="8" t="s">
        <v>22</v>
      </c>
      <c r="C19" s="9" t="s">
        <v>142</v>
      </c>
      <c r="D19" s="10" t="s">
        <v>143</v>
      </c>
      <c r="E19" s="11">
        <v>15.7</v>
      </c>
      <c r="F19" s="9" t="s">
        <v>144</v>
      </c>
      <c r="G19" s="9" t="s">
        <v>84</v>
      </c>
      <c r="H19" s="9" t="s">
        <v>111</v>
      </c>
      <c r="I19" s="13">
        <v>44033</v>
      </c>
      <c r="J19" s="13">
        <v>45340</v>
      </c>
      <c r="K19" s="14" t="s">
        <v>28</v>
      </c>
      <c r="L19" s="14">
        <v>13271002.029999999</v>
      </c>
      <c r="M19" s="8">
        <v>100</v>
      </c>
      <c r="N19" s="8" t="s">
        <v>145</v>
      </c>
      <c r="O19" s="8">
        <v>747</v>
      </c>
      <c r="P19" s="8" t="s">
        <v>30</v>
      </c>
      <c r="Q19" s="8" t="s">
        <v>31</v>
      </c>
      <c r="R19" s="8" t="s">
        <v>140</v>
      </c>
      <c r="S19" s="9" t="s">
        <v>146</v>
      </c>
      <c r="T19" s="38" t="s">
        <v>147</v>
      </c>
      <c r="U19" s="42" t="s">
        <v>268</v>
      </c>
      <c r="V19" s="42" t="s">
        <v>269</v>
      </c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  <c r="AQ19" s="42"/>
    </row>
    <row r="20" spans="1:43" ht="48.75" customHeight="1" x14ac:dyDescent="0.25">
      <c r="A20" s="7">
        <f t="shared" si="1"/>
        <v>14</v>
      </c>
      <c r="B20" s="8" t="s">
        <v>22</v>
      </c>
      <c r="C20" s="8" t="s">
        <v>108</v>
      </c>
      <c r="D20" s="10" t="s">
        <v>148</v>
      </c>
      <c r="E20" s="11">
        <v>8.66</v>
      </c>
      <c r="F20" s="9" t="s">
        <v>149</v>
      </c>
      <c r="G20" s="9" t="s">
        <v>84</v>
      </c>
      <c r="H20" s="9" t="s">
        <v>111</v>
      </c>
      <c r="I20" s="12">
        <v>44825</v>
      </c>
      <c r="J20" s="13">
        <v>45345</v>
      </c>
      <c r="K20" s="14" t="s">
        <v>28</v>
      </c>
      <c r="L20" s="14">
        <v>5893058.8600000003</v>
      </c>
      <c r="M20" s="8">
        <v>100</v>
      </c>
      <c r="N20" s="8" t="s">
        <v>150</v>
      </c>
      <c r="O20" s="8">
        <v>1375</v>
      </c>
      <c r="P20" s="8" t="s">
        <v>30</v>
      </c>
      <c r="Q20" s="8" t="s">
        <v>50</v>
      </c>
      <c r="R20" s="8" t="s">
        <v>96</v>
      </c>
      <c r="S20" s="9" t="s">
        <v>151</v>
      </c>
      <c r="T20" s="38" t="s">
        <v>152</v>
      </c>
      <c r="U20" s="42" t="s">
        <v>270</v>
      </c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  <c r="AQ20" s="42"/>
    </row>
    <row r="21" spans="1:43" ht="48.75" customHeight="1" x14ac:dyDescent="0.25">
      <c r="A21" s="7">
        <f t="shared" si="1"/>
        <v>15</v>
      </c>
      <c r="B21" s="27" t="s">
        <v>153</v>
      </c>
      <c r="C21" s="28" t="s">
        <v>154</v>
      </c>
      <c r="D21" s="10" t="s">
        <v>155</v>
      </c>
      <c r="E21" s="29">
        <v>47.9</v>
      </c>
      <c r="F21" s="28" t="s">
        <v>156</v>
      </c>
      <c r="G21" s="9" t="s">
        <v>84</v>
      </c>
      <c r="H21" s="9" t="s">
        <v>111</v>
      </c>
      <c r="I21" s="30">
        <v>44930</v>
      </c>
      <c r="J21" s="31">
        <v>45330</v>
      </c>
      <c r="K21" s="14" t="s">
        <v>28</v>
      </c>
      <c r="L21" s="32">
        <v>27102187.760000002</v>
      </c>
      <c r="M21" s="8">
        <v>100</v>
      </c>
      <c r="N21" s="27" t="s">
        <v>157</v>
      </c>
      <c r="O21" s="27">
        <v>1771</v>
      </c>
      <c r="P21" s="27" t="s">
        <v>30</v>
      </c>
      <c r="Q21" s="27" t="s">
        <v>40</v>
      </c>
      <c r="R21" s="27" t="s">
        <v>158</v>
      </c>
      <c r="S21" s="33"/>
      <c r="T21" s="39" t="s">
        <v>159</v>
      </c>
      <c r="U21" s="42" t="s">
        <v>271</v>
      </c>
      <c r="V21" s="42" t="s">
        <v>272</v>
      </c>
      <c r="W21" s="42" t="s">
        <v>273</v>
      </c>
      <c r="X21" s="42" t="s">
        <v>274</v>
      </c>
      <c r="Y21" s="42" t="s">
        <v>275</v>
      </c>
      <c r="Z21" s="42" t="s">
        <v>276</v>
      </c>
      <c r="AA21" s="42" t="s">
        <v>277</v>
      </c>
      <c r="AB21" s="42" t="s">
        <v>278</v>
      </c>
      <c r="AC21" s="42" t="s">
        <v>279</v>
      </c>
      <c r="AD21" s="42" t="s">
        <v>280</v>
      </c>
      <c r="AE21" s="42" t="s">
        <v>281</v>
      </c>
      <c r="AF21" s="42" t="s">
        <v>282</v>
      </c>
      <c r="AG21" s="42" t="s">
        <v>283</v>
      </c>
      <c r="AH21" s="42" t="s">
        <v>284</v>
      </c>
      <c r="AI21" s="42" t="s">
        <v>285</v>
      </c>
      <c r="AJ21" s="42" t="s">
        <v>286</v>
      </c>
      <c r="AK21" s="42" t="s">
        <v>287</v>
      </c>
      <c r="AL21" s="42" t="s">
        <v>288</v>
      </c>
      <c r="AM21" s="42" t="s">
        <v>289</v>
      </c>
      <c r="AN21" s="42" t="s">
        <v>290</v>
      </c>
      <c r="AO21" s="42"/>
      <c r="AP21" s="42"/>
      <c r="AQ21" s="42"/>
    </row>
    <row r="22" spans="1:43" ht="48.75" customHeight="1" x14ac:dyDescent="0.25">
      <c r="A22" s="7">
        <f t="shared" si="1"/>
        <v>16</v>
      </c>
      <c r="B22" s="27" t="s">
        <v>160</v>
      </c>
      <c r="C22" s="28" t="s">
        <v>161</v>
      </c>
      <c r="D22" s="10" t="s">
        <v>162</v>
      </c>
      <c r="E22" s="29">
        <v>0.97</v>
      </c>
      <c r="F22" s="28" t="s">
        <v>163</v>
      </c>
      <c r="G22" s="9" t="s">
        <v>75</v>
      </c>
      <c r="H22" s="9" t="s">
        <v>76</v>
      </c>
      <c r="I22" s="30">
        <v>45146</v>
      </c>
      <c r="J22" s="30">
        <v>45508</v>
      </c>
      <c r="K22" s="14" t="s">
        <v>28</v>
      </c>
      <c r="L22" s="32">
        <v>2815978.8</v>
      </c>
      <c r="M22" s="8">
        <v>100</v>
      </c>
      <c r="N22" s="27" t="s">
        <v>164</v>
      </c>
      <c r="O22" s="27">
        <v>2188</v>
      </c>
      <c r="P22" s="27" t="s">
        <v>30</v>
      </c>
      <c r="Q22" s="28" t="s">
        <v>165</v>
      </c>
      <c r="R22" s="28" t="s">
        <v>166</v>
      </c>
      <c r="S22" s="9" t="s">
        <v>167</v>
      </c>
      <c r="T22" s="40" t="s">
        <v>168</v>
      </c>
      <c r="U22" s="42" t="s">
        <v>291</v>
      </c>
      <c r="V22" s="42"/>
      <c r="W22" s="42"/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</row>
    <row r="23" spans="1:43" ht="48.75" customHeight="1" x14ac:dyDescent="0.25">
      <c r="A23" s="7">
        <f t="shared" si="1"/>
        <v>17</v>
      </c>
      <c r="B23" s="27" t="s">
        <v>22</v>
      </c>
      <c r="C23" s="27" t="s">
        <v>169</v>
      </c>
      <c r="D23" s="10" t="s">
        <v>170</v>
      </c>
      <c r="E23" s="29">
        <v>8.4</v>
      </c>
      <c r="F23" s="28" t="s">
        <v>171</v>
      </c>
      <c r="G23" s="9" t="s">
        <v>172</v>
      </c>
      <c r="H23" s="9" t="s">
        <v>173</v>
      </c>
      <c r="I23" s="30">
        <v>44623</v>
      </c>
      <c r="J23" s="31">
        <v>45513</v>
      </c>
      <c r="K23" s="14" t="s">
        <v>28</v>
      </c>
      <c r="L23" s="32">
        <v>31587295.43</v>
      </c>
      <c r="M23" s="8">
        <v>100</v>
      </c>
      <c r="N23" s="27" t="s">
        <v>174</v>
      </c>
      <c r="O23" s="27">
        <v>1860</v>
      </c>
      <c r="P23" s="27" t="s">
        <v>30</v>
      </c>
      <c r="Q23" s="28" t="s">
        <v>31</v>
      </c>
      <c r="R23" s="28" t="s">
        <v>175</v>
      </c>
      <c r="S23" s="28" t="s">
        <v>176</v>
      </c>
      <c r="T23" s="38" t="s">
        <v>129</v>
      </c>
      <c r="U23" s="42" t="s">
        <v>292</v>
      </c>
      <c r="V23" s="42" t="s">
        <v>293</v>
      </c>
      <c r="W23" s="42" t="s">
        <v>294</v>
      </c>
      <c r="X23" s="42"/>
      <c r="Y23" s="42"/>
      <c r="Z23" s="42"/>
      <c r="AA23" s="42"/>
      <c r="AB23" s="42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  <c r="AQ23" s="42"/>
    </row>
    <row r="24" spans="1:43" ht="48.75" customHeight="1" x14ac:dyDescent="0.25">
      <c r="A24" s="7">
        <f t="shared" si="1"/>
        <v>18</v>
      </c>
      <c r="B24" s="27" t="s">
        <v>22</v>
      </c>
      <c r="C24" s="28" t="s">
        <v>23</v>
      </c>
      <c r="D24" s="10" t="s">
        <v>177</v>
      </c>
      <c r="E24" s="29">
        <v>25.1</v>
      </c>
      <c r="F24" s="28" t="s">
        <v>178</v>
      </c>
      <c r="G24" s="9" t="s">
        <v>26</v>
      </c>
      <c r="H24" s="9" t="s">
        <v>27</v>
      </c>
      <c r="I24" s="30">
        <v>44383</v>
      </c>
      <c r="J24" s="31">
        <v>45471</v>
      </c>
      <c r="K24" s="14" t="s">
        <v>28</v>
      </c>
      <c r="L24" s="32">
        <v>19638413.100000001</v>
      </c>
      <c r="M24" s="8">
        <v>100</v>
      </c>
      <c r="N24" s="27" t="s">
        <v>179</v>
      </c>
      <c r="O24" s="27">
        <v>702</v>
      </c>
      <c r="P24" s="27" t="s">
        <v>30</v>
      </c>
      <c r="Q24" s="28" t="s">
        <v>31</v>
      </c>
      <c r="R24" s="28" t="s">
        <v>180</v>
      </c>
      <c r="S24" s="28"/>
      <c r="T24" s="38" t="s">
        <v>129</v>
      </c>
      <c r="U24" s="42" t="s">
        <v>295</v>
      </c>
      <c r="V24" s="42" t="s">
        <v>296</v>
      </c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  <c r="AL24" s="42"/>
      <c r="AM24" s="42"/>
      <c r="AN24" s="42"/>
      <c r="AO24" s="42"/>
      <c r="AP24" s="42"/>
      <c r="AQ24" s="42"/>
    </row>
    <row r="25" spans="1:43" ht="48.75" customHeight="1" x14ac:dyDescent="0.25">
      <c r="A25" s="7">
        <f t="shared" si="1"/>
        <v>19</v>
      </c>
      <c r="B25" s="27" t="s">
        <v>123</v>
      </c>
      <c r="C25" s="9" t="s">
        <v>181</v>
      </c>
      <c r="D25" s="10" t="s">
        <v>182</v>
      </c>
      <c r="E25" s="29">
        <v>30.34</v>
      </c>
      <c r="F25" s="28" t="s">
        <v>183</v>
      </c>
      <c r="G25" s="9" t="s">
        <v>172</v>
      </c>
      <c r="H25" s="9" t="s">
        <v>173</v>
      </c>
      <c r="I25" s="30">
        <v>44593</v>
      </c>
      <c r="J25" s="31">
        <v>45524</v>
      </c>
      <c r="K25" s="14" t="s">
        <v>28</v>
      </c>
      <c r="L25" s="32">
        <v>22469055.489999998</v>
      </c>
      <c r="M25" s="8">
        <v>100</v>
      </c>
      <c r="N25" s="27" t="s">
        <v>184</v>
      </c>
      <c r="O25" s="27">
        <v>686</v>
      </c>
      <c r="P25" s="27" t="s">
        <v>30</v>
      </c>
      <c r="Q25" s="28" t="s">
        <v>31</v>
      </c>
      <c r="R25" s="28" t="s">
        <v>185</v>
      </c>
      <c r="S25" s="28" t="s">
        <v>186</v>
      </c>
      <c r="T25" s="38" t="s">
        <v>187</v>
      </c>
      <c r="U25" s="42" t="s">
        <v>297</v>
      </c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  <c r="AQ25" s="42"/>
    </row>
    <row r="26" spans="1:43" ht="48.75" customHeight="1" x14ac:dyDescent="0.25">
      <c r="A26" s="7">
        <f t="shared" si="1"/>
        <v>20</v>
      </c>
      <c r="B26" s="27" t="s">
        <v>160</v>
      </c>
      <c r="C26" s="28" t="s">
        <v>133</v>
      </c>
      <c r="D26" s="10" t="s">
        <v>188</v>
      </c>
      <c r="E26" s="29" t="s">
        <v>133</v>
      </c>
      <c r="F26" s="28" t="s">
        <v>189</v>
      </c>
      <c r="G26" s="9" t="s">
        <v>190</v>
      </c>
      <c r="H26" s="9" t="s">
        <v>94</v>
      </c>
      <c r="I26" s="30">
        <v>44972</v>
      </c>
      <c r="J26" s="30">
        <v>45578</v>
      </c>
      <c r="K26" s="14" t="s">
        <v>28</v>
      </c>
      <c r="L26" s="32">
        <v>3014653.83</v>
      </c>
      <c r="M26" s="8">
        <v>100</v>
      </c>
      <c r="N26" s="27" t="s">
        <v>191</v>
      </c>
      <c r="O26" s="27">
        <v>1621</v>
      </c>
      <c r="P26" s="27" t="s">
        <v>30</v>
      </c>
      <c r="Q26" s="34" t="s">
        <v>133</v>
      </c>
      <c r="R26" s="28" t="s">
        <v>192</v>
      </c>
      <c r="S26" s="28" t="s">
        <v>193</v>
      </c>
      <c r="T26" s="41"/>
      <c r="U26" s="42" t="s">
        <v>260</v>
      </c>
      <c r="V26" s="42" t="s">
        <v>261</v>
      </c>
      <c r="W26" s="42"/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  <c r="AQ26" s="42"/>
    </row>
    <row r="27" spans="1:43" ht="48.75" customHeight="1" x14ac:dyDescent="0.25">
      <c r="A27" s="7">
        <f t="shared" si="1"/>
        <v>21</v>
      </c>
      <c r="B27" s="27" t="s">
        <v>22</v>
      </c>
      <c r="C27" s="9" t="s">
        <v>194</v>
      </c>
      <c r="D27" s="10" t="s">
        <v>195</v>
      </c>
      <c r="E27" s="29">
        <v>16.600000000000001</v>
      </c>
      <c r="F27" s="28" t="s">
        <v>196</v>
      </c>
      <c r="G27" s="9" t="s">
        <v>93</v>
      </c>
      <c r="H27" s="9" t="s">
        <v>94</v>
      </c>
      <c r="I27" s="12">
        <v>45054</v>
      </c>
      <c r="J27" s="31">
        <v>45533</v>
      </c>
      <c r="K27" s="14" t="s">
        <v>28</v>
      </c>
      <c r="L27" s="32">
        <v>14394574.65</v>
      </c>
      <c r="M27" s="8">
        <v>100</v>
      </c>
      <c r="N27" s="27" t="s">
        <v>197</v>
      </c>
      <c r="O27" s="27">
        <v>1390</v>
      </c>
      <c r="P27" s="27" t="s">
        <v>30</v>
      </c>
      <c r="Q27" s="27" t="s">
        <v>50</v>
      </c>
      <c r="R27" s="27" t="s">
        <v>96</v>
      </c>
      <c r="S27" s="28" t="s">
        <v>198</v>
      </c>
      <c r="T27" s="38" t="s">
        <v>129</v>
      </c>
      <c r="U27" s="42" t="s">
        <v>298</v>
      </c>
      <c r="V27" s="42"/>
      <c r="W27" s="42"/>
      <c r="X27" s="42"/>
      <c r="Y27" s="42"/>
      <c r="Z27" s="42"/>
      <c r="AA27" s="42"/>
      <c r="AB27" s="42"/>
      <c r="AC27" s="42"/>
      <c r="AD27" s="42"/>
      <c r="AE27" s="42"/>
      <c r="AF27" s="42"/>
      <c r="AG27" s="42"/>
      <c r="AH27" s="42"/>
      <c r="AI27" s="42"/>
      <c r="AJ27" s="42"/>
      <c r="AK27" s="42"/>
      <c r="AL27" s="42"/>
      <c r="AM27" s="42"/>
      <c r="AN27" s="42"/>
      <c r="AO27" s="42"/>
      <c r="AP27" s="42"/>
      <c r="AQ27" s="42"/>
    </row>
    <row r="28" spans="1:43" ht="48.75" customHeight="1" x14ac:dyDescent="0.25">
      <c r="A28" s="7">
        <f t="shared" si="1"/>
        <v>22</v>
      </c>
      <c r="B28" s="27" t="s">
        <v>22</v>
      </c>
      <c r="C28" s="9" t="s">
        <v>199</v>
      </c>
      <c r="D28" s="10" t="s">
        <v>200</v>
      </c>
      <c r="E28" s="29">
        <v>5.86</v>
      </c>
      <c r="F28" s="28" t="s">
        <v>201</v>
      </c>
      <c r="G28" s="9" t="s">
        <v>47</v>
      </c>
      <c r="H28" s="9" t="s">
        <v>48</v>
      </c>
      <c r="I28" s="12">
        <v>44882</v>
      </c>
      <c r="J28" s="31">
        <v>45482</v>
      </c>
      <c r="K28" s="14" t="s">
        <v>28</v>
      </c>
      <c r="L28" s="32">
        <v>4965906.38</v>
      </c>
      <c r="M28" s="8">
        <v>100</v>
      </c>
      <c r="N28" s="27" t="s">
        <v>202</v>
      </c>
      <c r="O28" s="27">
        <v>1378</v>
      </c>
      <c r="P28" s="27" t="s">
        <v>30</v>
      </c>
      <c r="Q28" s="28" t="s">
        <v>31</v>
      </c>
      <c r="R28" s="35" t="s">
        <v>203</v>
      </c>
      <c r="S28" s="28" t="s">
        <v>204</v>
      </c>
      <c r="T28" s="40" t="s">
        <v>205</v>
      </c>
      <c r="U28" s="42" t="s">
        <v>299</v>
      </c>
      <c r="V28" s="42" t="s">
        <v>300</v>
      </c>
      <c r="W28" s="42"/>
      <c r="X28" s="42"/>
      <c r="Y28" s="42"/>
      <c r="Z28" s="42"/>
      <c r="AA28" s="42"/>
      <c r="AB28" s="42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  <c r="AQ28" s="42"/>
    </row>
    <row r="29" spans="1:43" ht="48.75" customHeight="1" x14ac:dyDescent="0.25">
      <c r="A29" s="7">
        <f t="shared" si="1"/>
        <v>23</v>
      </c>
      <c r="B29" s="27" t="s">
        <v>22</v>
      </c>
      <c r="C29" s="27" t="s">
        <v>206</v>
      </c>
      <c r="D29" s="33" t="s">
        <v>207</v>
      </c>
      <c r="E29" s="29">
        <v>16.82</v>
      </c>
      <c r="F29" s="28" t="s">
        <v>208</v>
      </c>
      <c r="G29" s="28" t="s">
        <v>26</v>
      </c>
      <c r="H29" s="9" t="s">
        <v>27</v>
      </c>
      <c r="I29" s="30">
        <v>44627</v>
      </c>
      <c r="J29" s="30">
        <v>45604</v>
      </c>
      <c r="K29" s="14" t="s">
        <v>28</v>
      </c>
      <c r="L29" s="32">
        <v>8303874.0599999996</v>
      </c>
      <c r="M29" s="8">
        <v>100</v>
      </c>
      <c r="N29" s="27" t="s">
        <v>209</v>
      </c>
      <c r="O29" s="27">
        <v>1340</v>
      </c>
      <c r="P29" s="27" t="s">
        <v>30</v>
      </c>
      <c r="Q29" s="27" t="s">
        <v>40</v>
      </c>
      <c r="R29" s="27" t="s">
        <v>128</v>
      </c>
      <c r="S29" s="28" t="s">
        <v>210</v>
      </c>
      <c r="T29" s="38" t="s">
        <v>129</v>
      </c>
      <c r="U29" s="42" t="s">
        <v>301</v>
      </c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</row>
    <row r="30" spans="1:43" ht="48.75" customHeight="1" x14ac:dyDescent="0.25">
      <c r="A30" s="7">
        <f t="shared" si="1"/>
        <v>24</v>
      </c>
      <c r="B30" s="27" t="s">
        <v>160</v>
      </c>
      <c r="C30" s="27" t="s">
        <v>211</v>
      </c>
      <c r="D30" s="33" t="str">
        <f>UPPER("Iluminação do Acesso ao Geossítio Cachoeira ")</f>
        <v xml:space="preserve">ILUMINAÇÃO DO ACESSO AO GEOSSÍTIO CACHOEIRA </v>
      </c>
      <c r="E30" s="29" t="s">
        <v>133</v>
      </c>
      <c r="F30" s="28" t="s">
        <v>212</v>
      </c>
      <c r="G30" s="9" t="s">
        <v>26</v>
      </c>
      <c r="H30" s="9" t="s">
        <v>27</v>
      </c>
      <c r="I30" s="12">
        <v>45224</v>
      </c>
      <c r="J30" s="12">
        <v>45559</v>
      </c>
      <c r="K30" s="14" t="s">
        <v>28</v>
      </c>
      <c r="L30" s="32">
        <v>524070.01</v>
      </c>
      <c r="M30" s="8">
        <v>100</v>
      </c>
      <c r="N30" s="27" t="s">
        <v>213</v>
      </c>
      <c r="O30" s="27">
        <v>2133</v>
      </c>
      <c r="P30" s="27" t="s">
        <v>30</v>
      </c>
      <c r="Q30" s="28" t="s">
        <v>133</v>
      </c>
      <c r="R30" s="28" t="s">
        <v>214</v>
      </c>
      <c r="S30" s="28"/>
      <c r="T30" s="40"/>
      <c r="U30" s="42" t="s">
        <v>302</v>
      </c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</row>
    <row r="31" spans="1:43" ht="48.75" customHeight="1" x14ac:dyDescent="0.25">
      <c r="A31" s="7">
        <f t="shared" si="1"/>
        <v>25</v>
      </c>
      <c r="B31" s="27" t="s">
        <v>123</v>
      </c>
      <c r="C31" s="27" t="s">
        <v>215</v>
      </c>
      <c r="D31" s="33" t="s">
        <v>216</v>
      </c>
      <c r="E31" s="29">
        <v>4.7</v>
      </c>
      <c r="F31" s="28" t="s">
        <v>217</v>
      </c>
      <c r="G31" s="9" t="s">
        <v>218</v>
      </c>
      <c r="H31" s="9" t="s">
        <v>66</v>
      </c>
      <c r="I31" s="12">
        <v>44490</v>
      </c>
      <c r="J31" s="12">
        <v>45588</v>
      </c>
      <c r="K31" s="14" t="s">
        <v>28</v>
      </c>
      <c r="L31" s="32">
        <v>25687719.870000001</v>
      </c>
      <c r="M31" s="8">
        <v>100</v>
      </c>
      <c r="N31" s="27" t="s">
        <v>219</v>
      </c>
      <c r="O31" s="27">
        <v>831</v>
      </c>
      <c r="P31" s="27" t="s">
        <v>30</v>
      </c>
      <c r="Q31" s="28" t="s">
        <v>165</v>
      </c>
      <c r="R31" s="28" t="s">
        <v>220</v>
      </c>
      <c r="S31" s="28" t="s">
        <v>221</v>
      </c>
      <c r="T31" s="40" t="s">
        <v>222</v>
      </c>
      <c r="U31" s="42" t="s">
        <v>303</v>
      </c>
      <c r="V31" s="42" t="s">
        <v>304</v>
      </c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  <c r="AQ31" s="42"/>
    </row>
    <row r="32" spans="1:43" ht="48.75" customHeight="1" x14ac:dyDescent="0.25">
      <c r="A32" s="7">
        <f t="shared" si="1"/>
        <v>26</v>
      </c>
      <c r="B32" s="27" t="s">
        <v>123</v>
      </c>
      <c r="C32" s="27" t="s">
        <v>223</v>
      </c>
      <c r="D32" s="33" t="s">
        <v>224</v>
      </c>
      <c r="E32" s="29">
        <v>2.6</v>
      </c>
      <c r="F32" s="28" t="s">
        <v>225</v>
      </c>
      <c r="G32" s="9" t="s">
        <v>84</v>
      </c>
      <c r="H32" s="9" t="s">
        <v>102</v>
      </c>
      <c r="I32" s="12">
        <v>45194</v>
      </c>
      <c r="J32" s="12">
        <v>45519</v>
      </c>
      <c r="K32" s="14" t="s">
        <v>28</v>
      </c>
      <c r="L32" s="36">
        <v>8203250.1699999999</v>
      </c>
      <c r="M32" s="8">
        <v>100</v>
      </c>
      <c r="N32" s="27" t="s">
        <v>226</v>
      </c>
      <c r="O32" s="27">
        <v>1418</v>
      </c>
      <c r="P32" s="27" t="s">
        <v>30</v>
      </c>
      <c r="Q32" s="28" t="s">
        <v>165</v>
      </c>
      <c r="R32" s="28" t="s">
        <v>227</v>
      </c>
      <c r="S32" s="28" t="s">
        <v>228</v>
      </c>
      <c r="T32" s="40" t="s">
        <v>229</v>
      </c>
      <c r="U32" s="42" t="s">
        <v>305</v>
      </c>
      <c r="V32" s="42"/>
      <c r="W32" s="42"/>
      <c r="X32" s="42"/>
      <c r="Y32" s="42"/>
      <c r="Z32" s="42"/>
      <c r="AA32" s="42"/>
      <c r="AB32" s="42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  <c r="AQ32" s="42"/>
    </row>
    <row r="33" spans="1:45" ht="48.75" customHeight="1" x14ac:dyDescent="0.25">
      <c r="A33" s="7">
        <f t="shared" si="1"/>
        <v>27</v>
      </c>
      <c r="B33" s="27" t="s">
        <v>22</v>
      </c>
      <c r="C33" s="27" t="s">
        <v>230</v>
      </c>
      <c r="D33" s="33" t="s">
        <v>231</v>
      </c>
      <c r="E33" s="29">
        <v>28.64</v>
      </c>
      <c r="F33" s="28" t="s">
        <v>232</v>
      </c>
      <c r="G33" s="9" t="s">
        <v>233</v>
      </c>
      <c r="H33" s="9" t="s">
        <v>234</v>
      </c>
      <c r="I33" s="12">
        <v>44672</v>
      </c>
      <c r="J33" s="12">
        <v>45556</v>
      </c>
      <c r="K33" s="14" t="s">
        <v>28</v>
      </c>
      <c r="L33" s="36">
        <v>21929959.289999999</v>
      </c>
      <c r="M33" s="8">
        <v>100</v>
      </c>
      <c r="N33" s="27" t="s">
        <v>235</v>
      </c>
      <c r="O33" s="27">
        <v>707</v>
      </c>
      <c r="P33" s="27" t="s">
        <v>30</v>
      </c>
      <c r="Q33" s="28" t="s">
        <v>31</v>
      </c>
      <c r="R33" s="28" t="s">
        <v>128</v>
      </c>
      <c r="S33" s="28" t="s">
        <v>221</v>
      </c>
      <c r="T33" s="40" t="s">
        <v>236</v>
      </c>
      <c r="U33" s="42" t="s">
        <v>306</v>
      </c>
      <c r="V33" s="42" t="s">
        <v>307</v>
      </c>
      <c r="W33" s="42"/>
      <c r="X33" s="42"/>
      <c r="Y33" s="42"/>
      <c r="Z33" s="42"/>
      <c r="AA33" s="42"/>
      <c r="AB33" s="42"/>
      <c r="AC33" s="42"/>
      <c r="AD33" s="42"/>
      <c r="AE33" s="42"/>
      <c r="AF33" s="42"/>
      <c r="AG33" s="42"/>
      <c r="AH33" s="42"/>
      <c r="AI33" s="42"/>
      <c r="AJ33" s="42"/>
      <c r="AK33" s="42"/>
      <c r="AL33" s="42"/>
      <c r="AM33" s="42"/>
      <c r="AN33" s="42"/>
      <c r="AO33" s="42"/>
      <c r="AP33" s="42"/>
      <c r="AQ33" s="42"/>
    </row>
    <row r="34" spans="1:45" ht="48.75" customHeight="1" x14ac:dyDescent="0.25">
      <c r="A34" s="7">
        <f t="shared" si="1"/>
        <v>28</v>
      </c>
      <c r="B34" s="27" t="s">
        <v>160</v>
      </c>
      <c r="C34" s="27" t="s">
        <v>133</v>
      </c>
      <c r="D34" s="33" t="s">
        <v>237</v>
      </c>
      <c r="E34" s="29">
        <v>1.42</v>
      </c>
      <c r="F34" s="28" t="s">
        <v>38</v>
      </c>
      <c r="G34" s="9" t="s">
        <v>26</v>
      </c>
      <c r="H34" s="9" t="s">
        <v>27</v>
      </c>
      <c r="I34" s="12">
        <v>44916</v>
      </c>
      <c r="J34" s="12">
        <v>45516</v>
      </c>
      <c r="K34" s="14" t="s">
        <v>28</v>
      </c>
      <c r="L34" s="36">
        <v>5521746</v>
      </c>
      <c r="M34" s="8">
        <v>100</v>
      </c>
      <c r="N34" s="27" t="s">
        <v>238</v>
      </c>
      <c r="O34" s="27">
        <v>2169</v>
      </c>
      <c r="P34" s="27" t="s">
        <v>30</v>
      </c>
      <c r="Q34" s="28" t="s">
        <v>133</v>
      </c>
      <c r="R34" s="28" t="s">
        <v>239</v>
      </c>
      <c r="S34" s="37" t="s">
        <v>240</v>
      </c>
      <c r="T34" s="40"/>
      <c r="U34" s="42" t="s">
        <v>258</v>
      </c>
      <c r="V34" s="42" t="s">
        <v>259</v>
      </c>
      <c r="W34" s="42"/>
      <c r="X34" s="42"/>
      <c r="Y34" s="42"/>
      <c r="Z34" s="42"/>
      <c r="AA34" s="42"/>
      <c r="AB34" s="42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  <c r="AQ34" s="42"/>
    </row>
    <row r="35" spans="1:45" ht="48.75" customHeight="1" x14ac:dyDescent="0.25">
      <c r="A35" s="7">
        <f t="shared" si="1"/>
        <v>29</v>
      </c>
      <c r="B35" s="27" t="s">
        <v>160</v>
      </c>
      <c r="C35" s="27" t="s">
        <v>133</v>
      </c>
      <c r="D35" s="33" t="s">
        <v>241</v>
      </c>
      <c r="E35" s="29">
        <f>220/1000</f>
        <v>0.22</v>
      </c>
      <c r="F35" s="28" t="s">
        <v>242</v>
      </c>
      <c r="G35" s="9" t="s">
        <v>243</v>
      </c>
      <c r="H35" s="9" t="s">
        <v>244</v>
      </c>
      <c r="I35" s="12">
        <v>45190</v>
      </c>
      <c r="J35" s="12">
        <v>45581</v>
      </c>
      <c r="K35" s="14" t="s">
        <v>28</v>
      </c>
      <c r="L35" s="36">
        <v>2769121.2</v>
      </c>
      <c r="M35" s="8">
        <v>100</v>
      </c>
      <c r="N35" s="27" t="s">
        <v>245</v>
      </c>
      <c r="O35" s="27">
        <v>1100</v>
      </c>
      <c r="P35" s="27" t="s">
        <v>30</v>
      </c>
      <c r="Q35" s="28" t="s">
        <v>133</v>
      </c>
      <c r="R35" s="28" t="s">
        <v>246</v>
      </c>
      <c r="S35" s="28" t="s">
        <v>247</v>
      </c>
      <c r="T35" s="40"/>
      <c r="U35" s="42" t="s">
        <v>256</v>
      </c>
      <c r="V35" s="42" t="s">
        <v>257</v>
      </c>
      <c r="W35" s="42"/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</row>
    <row r="36" spans="1:45" ht="60" x14ac:dyDescent="0.25">
      <c r="A36" s="7">
        <f t="shared" si="1"/>
        <v>30</v>
      </c>
      <c r="B36" s="27" t="s">
        <v>107</v>
      </c>
      <c r="C36" s="27" t="s">
        <v>248</v>
      </c>
      <c r="D36" s="33" t="s">
        <v>249</v>
      </c>
      <c r="E36" s="29">
        <v>6.57</v>
      </c>
      <c r="F36" s="28" t="s">
        <v>250</v>
      </c>
      <c r="G36" s="9" t="s">
        <v>84</v>
      </c>
      <c r="H36" s="9" t="s">
        <v>111</v>
      </c>
      <c r="I36" s="12">
        <v>45006</v>
      </c>
      <c r="J36" s="12">
        <v>45546</v>
      </c>
      <c r="K36" s="14" t="s">
        <v>28</v>
      </c>
      <c r="L36" s="36">
        <v>47366423.520000003</v>
      </c>
      <c r="M36" s="8">
        <v>100</v>
      </c>
      <c r="N36" s="27" t="s">
        <v>251</v>
      </c>
      <c r="O36" s="27">
        <v>785</v>
      </c>
      <c r="P36" s="27" t="s">
        <v>30</v>
      </c>
      <c r="Q36" s="28" t="s">
        <v>165</v>
      </c>
      <c r="R36" s="28" t="s">
        <v>175</v>
      </c>
      <c r="S36" s="28" t="s">
        <v>252</v>
      </c>
      <c r="T36" s="40" t="s">
        <v>253</v>
      </c>
      <c r="U36" s="42" t="s">
        <v>308</v>
      </c>
      <c r="V36" s="42" t="s">
        <v>309</v>
      </c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</row>
    <row r="37" spans="1:45" ht="19.5" customHeight="1" x14ac:dyDescent="0.25">
      <c r="A37" s="25" t="s">
        <v>254</v>
      </c>
      <c r="B37" s="51"/>
      <c r="C37" s="51"/>
      <c r="D37" s="52"/>
      <c r="E37" s="23">
        <f>SUM(E18:E36)</f>
        <v>244.78999999999996</v>
      </c>
      <c r="F37" s="4"/>
      <c r="G37" s="4"/>
      <c r="H37" s="4"/>
      <c r="I37" s="4"/>
      <c r="J37" s="4"/>
      <c r="K37" s="24"/>
      <c r="L37" s="24">
        <f>SUM(L18:L36)</f>
        <v>332048225.94999999</v>
      </c>
      <c r="M37" s="57" t="s">
        <v>133</v>
      </c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  <c r="AD37" s="58"/>
      <c r="AE37" s="58"/>
      <c r="AF37" s="58"/>
      <c r="AG37" s="58"/>
      <c r="AH37" s="58"/>
      <c r="AI37" s="58"/>
      <c r="AJ37" s="58"/>
      <c r="AK37" s="58"/>
      <c r="AL37" s="58"/>
      <c r="AM37" s="58"/>
      <c r="AN37" s="58"/>
      <c r="AO37" s="58"/>
      <c r="AP37" s="58"/>
      <c r="AQ37" s="59"/>
      <c r="AR37" s="16"/>
      <c r="AS37" s="16"/>
    </row>
  </sheetData>
  <mergeCells count="8">
    <mergeCell ref="U3:AQ3"/>
    <mergeCell ref="A4:AQ4"/>
    <mergeCell ref="M16:AQ16"/>
    <mergeCell ref="A17:AQ17"/>
    <mergeCell ref="A1:T2"/>
    <mergeCell ref="A16:D16"/>
    <mergeCell ref="A37:D37"/>
    <mergeCell ref="M37:AQ37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LISTA DE OBRAS - GOVERNO ELMANO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Paulo Furtado De Lima</dc:creator>
  <cp:lastModifiedBy>João Paulo Furtado De Lima</cp:lastModifiedBy>
  <dcterms:created xsi:type="dcterms:W3CDTF">2026-04-29T16:43:17Z</dcterms:created>
  <dcterms:modified xsi:type="dcterms:W3CDTF">2026-04-29T18:09:22Z</dcterms:modified>
</cp:coreProperties>
</file>