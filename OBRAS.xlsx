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esto\Downloads\"/>
    </mc:Choice>
  </mc:AlternateContent>
  <xr:revisionPtr revIDLastSave="0" documentId="13_ncr:1_{53529B91-60A1-4858-81EF-660881AE85FE}" xr6:coauthVersionLast="47" xr6:coauthVersionMax="47" xr10:uidLastSave="{00000000-0000-0000-0000-000000000000}"/>
  <bookViews>
    <workbookView xWindow="-120" yWindow="-120" windowWidth="20730" windowHeight="11040" activeTab="3" xr2:uid="{AD94D340-EAD9-4641-9722-F4A49FD1A579}"/>
  </bookViews>
  <sheets>
    <sheet name="OBRAS 2023" sheetId="1" r:id="rId1"/>
    <sheet name="OBRAS 2024" sheetId="2" r:id="rId2"/>
    <sheet name="OBRAS 2025" sheetId="3" r:id="rId3"/>
    <sheet name="OBRAS EM ANDAMENTO" sheetId="4" r:id="rId4"/>
  </sheets>
  <definedNames>
    <definedName name="_xlnm._FilterDatabase" localSheetId="3" hidden="1">'OBRAS EM ANDAMENTO'!$A$3:$AS$20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0" i="4" l="1"/>
  <c r="T20" i="4"/>
  <c r="U19" i="4"/>
  <c r="T19" i="4"/>
  <c r="U18" i="4"/>
  <c r="T18" i="4"/>
  <c r="U17" i="4"/>
  <c r="T17" i="4"/>
  <c r="U16" i="4"/>
  <c r="T16" i="4"/>
  <c r="P16" i="4"/>
  <c r="U15" i="4"/>
  <c r="T15" i="4"/>
  <c r="P15" i="4"/>
  <c r="U14" i="4"/>
  <c r="T14" i="4"/>
  <c r="P14" i="4"/>
  <c r="U13" i="4"/>
  <c r="T13" i="4"/>
  <c r="P13" i="4"/>
  <c r="U12" i="4"/>
  <c r="U11" i="4"/>
  <c r="T11" i="4"/>
  <c r="P11" i="4"/>
  <c r="U10" i="4"/>
  <c r="T10" i="4"/>
  <c r="P10" i="4"/>
  <c r="U9" i="4"/>
  <c r="T9" i="4"/>
  <c r="P9" i="4"/>
  <c r="F9" i="4"/>
  <c r="U8" i="4"/>
  <c r="P8" i="4"/>
  <c r="U7" i="4"/>
  <c r="T7" i="4"/>
  <c r="P7" i="4"/>
  <c r="U6" i="4"/>
  <c r="T6" i="4"/>
  <c r="P6" i="4"/>
  <c r="U5" i="4"/>
  <c r="T5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U4" i="4"/>
  <c r="T4" i="4"/>
  <c r="P4" i="4"/>
  <c r="L21" i="3"/>
  <c r="E21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L24" i="2"/>
  <c r="E22" i="2"/>
  <c r="E24" i="2" s="1"/>
  <c r="D1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L16" i="1"/>
  <c r="E16" i="1"/>
</calcChain>
</file>

<file path=xl/sharedStrings.xml><?xml version="1.0" encoding="utf-8"?>
<sst xmlns="http://schemas.openxmlformats.org/spreadsheetml/2006/main" count="1051" uniqueCount="589">
  <si>
    <t>Nº</t>
  </si>
  <si>
    <t>Tipo</t>
  </si>
  <si>
    <t>ROD.</t>
  </si>
  <si>
    <t>DESCRIÇÃO</t>
  </si>
  <si>
    <t>EXT. (KM)</t>
  </si>
  <si>
    <t>MUNICÍPIO</t>
  </si>
  <si>
    <t>MACRORREGIÃO</t>
  </si>
  <si>
    <t>DISTRITO OPERACIONAL</t>
  </si>
  <si>
    <t>DATA INÍCIO
(OS)</t>
  </si>
  <si>
    <t>DATA FINAL
(EXECUÇÃO)</t>
  </si>
  <si>
    <t>SITUAÇÃO</t>
  </si>
  <si>
    <t>VALOR DO CONTRATO (R$)</t>
  </si>
  <si>
    <t>STATUS
FÍSICO 
(%)</t>
  </si>
  <si>
    <t>CONTRATOS</t>
  </si>
  <si>
    <t>MAPP</t>
  </si>
  <si>
    <t>TIPO DE PAVIMENTO</t>
  </si>
  <si>
    <t>EMPRESAS</t>
  </si>
  <si>
    <t>OBSERVAÇÕES</t>
  </si>
  <si>
    <t>EVENTO POLÍTICO</t>
  </si>
  <si>
    <t>LISTA DE SRES</t>
  </si>
  <si>
    <t>OBRAS CONCLUÍDAS 2023</t>
  </si>
  <si>
    <t>CE-153</t>
  </si>
  <si>
    <t>ENTR. CE-288/380 (A) (AURORA) - INGAZEIRAS</t>
  </si>
  <si>
    <t>Aurora</t>
  </si>
  <si>
    <t>CARIRI</t>
  </si>
  <si>
    <t>D.O. DE CRATO</t>
  </si>
  <si>
    <t>CONCLUÍDA</t>
  </si>
  <si>
    <t>0088/2020</t>
  </si>
  <si>
    <t>APROVADO</t>
  </si>
  <si>
    <t>TSD</t>
  </si>
  <si>
    <t>CLC - CONSTRUTORA LUIZ COSTA LTDA</t>
  </si>
  <si>
    <t>Inaugurada em 20/11/2023</t>
  </si>
  <si>
    <t>153ECE0310S0</t>
  </si>
  <si>
    <t>153ECE0330S0</t>
  </si>
  <si>
    <t>CE-547</t>
  </si>
  <si>
    <t>PAVIMENTAÇÃO DO ACESSO A ESTÁTUA DE SANTO ANTÔNIO EM BARBALHA/CE</t>
  </si>
  <si>
    <t>Barbalha</t>
  </si>
  <si>
    <t>0188/2021</t>
  </si>
  <si>
    <t>CBUQ</t>
  </si>
  <si>
    <t>CORAL - CONSTRUTORA RODOVALHO ALENCAR LTDA.</t>
  </si>
  <si>
    <t>Avaliar inauguração.</t>
  </si>
  <si>
    <t>547ECE0010S0</t>
  </si>
  <si>
    <t>CE-427</t>
  </si>
  <si>
    <t>ENTR. CE192 (CARNAUBAL) – ENTR. CE-323 (BURITI)</t>
  </si>
  <si>
    <t>Carnaubal</t>
  </si>
  <si>
    <t>SERRA DA IBIAPABA</t>
  </si>
  <si>
    <t>D.O. DE SANTA QUITÉRIA</t>
  </si>
  <si>
    <t>0247/2022</t>
  </si>
  <si>
    <t>TSS</t>
  </si>
  <si>
    <t>TERPA</t>
  </si>
  <si>
    <t>Inaugurada em 25/05/2023</t>
  </si>
  <si>
    <t>427ECE0010S0</t>
  </si>
  <si>
    <t>CE-390</t>
  </si>
  <si>
    <t>ENTR. CE-060 P/ JARDIM - ENTR. BR-116 (PENAFORTE)</t>
  </si>
  <si>
    <t>Jardim e Penaforte</t>
  </si>
  <si>
    <t>0013/2019</t>
  </si>
  <si>
    <t>CONSTRUTORA LUIZ COSTA LTDA</t>
  </si>
  <si>
    <t>Inaugurada em 03/06/2023</t>
  </si>
  <si>
    <t>390ECE0010S0</t>
  </si>
  <si>
    <t>390ECE0030S0</t>
  </si>
  <si>
    <t>390ECE0050S0</t>
  </si>
  <si>
    <t>CE-397</t>
  </si>
  <si>
    <t>ENTR.CE-152 (PALESTINA) - POÇO DO PAU</t>
  </si>
  <si>
    <t>MAURITI/ BREJO SANTO</t>
  </si>
  <si>
    <t>D.O. DE IGUATU</t>
  </si>
  <si>
    <t xml:space="preserve">       </t>
  </si>
  <si>
    <t>0116/2021</t>
  </si>
  <si>
    <t>TERPA CONSTRUÇÕES S/A</t>
  </si>
  <si>
    <t xml:space="preserve">Verificar se já foi inaugurada. - Necessária limpeza mediante agendamento - Sinalização concluída. </t>
  </si>
  <si>
    <t>397ECE0090S0</t>
  </si>
  <si>
    <t>CE-596</t>
  </si>
  <si>
    <t>BATURITÉ – CANDEIAS</t>
  </si>
  <si>
    <t>Baturité</t>
  </si>
  <si>
    <t>MACIÇO DE BATURITÉ</t>
  </si>
  <si>
    <t>D.O. DE ARACOIABA</t>
  </si>
  <si>
    <t>0174/2022</t>
  </si>
  <si>
    <t>FERREIRA CONSTRUTORA LTDA</t>
  </si>
  <si>
    <t>Inaugurada em 23/10/2023</t>
  </si>
  <si>
    <t>596ECE0010S0</t>
  </si>
  <si>
    <t>CE-348</t>
  </si>
  <si>
    <t>PARACURU - SIUPÉ</t>
  </si>
  <si>
    <t>Paracuru e São Gonçalo do Amarante</t>
  </si>
  <si>
    <t>GRANDE FORTALEZA</t>
  </si>
  <si>
    <t>D.O. DE FORTALEZA / 
D.O. DE ITAPIPOCA</t>
  </si>
  <si>
    <t>0244/2022</t>
  </si>
  <si>
    <t>CONSTRUTORA SAMARIA LTDA</t>
  </si>
  <si>
    <t xml:space="preserve">Apta a inaugurar. Sinalização concluída. </t>
  </si>
  <si>
    <t>348ECE0060S0</t>
  </si>
  <si>
    <t>CE-448</t>
  </si>
  <si>
    <t>MORADA NOVA – JUAZEIRO DE BAIXO</t>
  </si>
  <si>
    <t>Morada Nova</t>
  </si>
  <si>
    <t>VALE DO JAGUARIBE</t>
  </si>
  <si>
    <t>D.O. DE LIMOEIRO DO NORTE</t>
  </si>
  <si>
    <t>0314/2022</t>
  </si>
  <si>
    <t>CONSTRUTORA ALICERCE LTDA</t>
  </si>
  <si>
    <t>448ECE0010S0</t>
  </si>
  <si>
    <t>CE-240</t>
  </si>
  <si>
    <t>ENTR. CE-085 (PARRA) - ITAPIPOCA</t>
  </si>
  <si>
    <t>Itapipoca, Tururu e Trairi</t>
  </si>
  <si>
    <t>LITORAL OESTE / VALE DO CURU</t>
  </si>
  <si>
    <t>D.O. DE ITAPIPOCA</t>
  </si>
  <si>
    <t>0149/2021</t>
  </si>
  <si>
    <t xml:space="preserve">Necessária correçoes em garantia quinquenal - Sinalização concluída. </t>
  </si>
  <si>
    <t>240ECE0002S0</t>
  </si>
  <si>
    <t>240ECE0004S0</t>
  </si>
  <si>
    <t>CE-155</t>
  </si>
  <si>
    <t>PORTO DO PECÉM - ENTR. BR-222</t>
  </si>
  <si>
    <t>São Gonçalo do Amarante 
e Caucaia</t>
  </si>
  <si>
    <t>D.O. DE FORTALEZA</t>
  </si>
  <si>
    <t>0022/2019</t>
  </si>
  <si>
    <t>CONSÓRCIO CE155 - CLC/LOMACON</t>
  </si>
  <si>
    <t>Inaugurada em 09/07/2024</t>
  </si>
  <si>
    <t>155ECE0010D0</t>
  </si>
  <si>
    <t>155ECE0010E0</t>
  </si>
  <si>
    <t>155ECE0020E0</t>
  </si>
  <si>
    <t>155ECE0020D0</t>
  </si>
  <si>
    <t>155ECE0030D0</t>
  </si>
  <si>
    <t>155ECE0030E0</t>
  </si>
  <si>
    <t>155ECE0050D0</t>
  </si>
  <si>
    <t>155ECE0050E0</t>
  </si>
  <si>
    <t>CE-380</t>
  </si>
  <si>
    <t>ENTR. BR-116 (BARRO) - CUNCAS - DIVISA CE/PB</t>
  </si>
  <si>
    <t>Barro</t>
  </si>
  <si>
    <t>0015/2020</t>
  </si>
  <si>
    <t>A. L.TEIXEIRA PINHEIRO</t>
  </si>
  <si>
    <t xml:space="preserve">Apta a inaugurar - Necessária limpeza mediante agendamento - Sinalização concluída. </t>
  </si>
  <si>
    <t>380ECE0070S0</t>
  </si>
  <si>
    <t>380ECE0090S0</t>
  </si>
  <si>
    <t>TOTAL DE OBRAS CONCLUÍDAS EM 2023</t>
  </si>
  <si>
    <t>-</t>
  </si>
  <si>
    <t>OBRAS CONCLUÍDAS 2024</t>
  </si>
  <si>
    <t>CE-085</t>
  </si>
  <si>
    <t>ITAREMA - ACARAÚ</t>
  </si>
  <si>
    <t>Itarema e Acaraú</t>
  </si>
  <si>
    <t>LITORAL NORTE</t>
  </si>
  <si>
    <t>0017/2019</t>
  </si>
  <si>
    <t>R. FURLANI ENGENHARIA LTDA</t>
  </si>
  <si>
    <t xml:space="preserve">Inaugurada em 17/10/2023 </t>
  </si>
  <si>
    <t>CE-350</t>
  </si>
  <si>
    <t>ENTR. CE-065 - TUCUNDUBA</t>
  </si>
  <si>
    <t>Maranguape</t>
  </si>
  <si>
    <t>0027/2020</t>
  </si>
  <si>
    <t>Obra física concluída - Prazo de vigência do contrato: 17/08/2024
TRECHO CONSIDERADO CONCLUÍDO EM 2023 NO FECHAMENTO DO ANO EM DEZEMBRO</t>
  </si>
  <si>
    <t>Avaliar inauguração - necessária limpeza (Situação Política do Trecho)</t>
  </si>
  <si>
    <t>GUAIÚBA - ITACIMA</t>
  </si>
  <si>
    <t>Guaiúba</t>
  </si>
  <si>
    <t>0315/2022</t>
  </si>
  <si>
    <t>Obra física concluída 
TRECHO CONSIDERADO CONCLUÍDO EM 2023 NO FECHAMENTO DO ANO EM DEZEMBRO</t>
  </si>
  <si>
    <t>Inaugurada em 14/06/2024</t>
  </si>
  <si>
    <t>CE-040</t>
  </si>
  <si>
    <t>ENTR. CE-402 (P/ CAMBEBA) - ENTR. CE-253 (CASCAVEL)</t>
  </si>
  <si>
    <t>Fortaleza e Cascavel</t>
  </si>
  <si>
    <t>0001/2023</t>
  </si>
  <si>
    <t>CONSÓRCIO CEARÁ III</t>
  </si>
  <si>
    <t xml:space="preserve">Avaliar </t>
  </si>
  <si>
    <t>OUTROS</t>
  </si>
  <si>
    <t>CE-065</t>
  </si>
  <si>
    <t xml:space="preserve">URBANIZAÇÃO DA CE-065 </t>
  </si>
  <si>
    <t>Mulungu</t>
  </si>
  <si>
    <t>0139/2023</t>
  </si>
  <si>
    <t>INTERTRAVADO</t>
  </si>
  <si>
    <t>ACOSTA EMPREENDIMENTOS E SERVIÇOS EIRELI</t>
  </si>
  <si>
    <t>Obra física concluída - Prazo de vigência do contrato: 03/10/2024</t>
  </si>
  <si>
    <t>Inaugurada em 06/08/24</t>
  </si>
  <si>
    <t>CE-447</t>
  </si>
  <si>
    <t>CONTORNO DE CRATEÚS</t>
  </si>
  <si>
    <t>Crateús</t>
  </si>
  <si>
    <t>SERTÃO DOS CRATEÚS</t>
  </si>
  <si>
    <t>D.O. DE CRATEÚS</t>
  </si>
  <si>
    <t>0108/2022</t>
  </si>
  <si>
    <t>COSAMPA PROJETOS E CONSTRUÇÕES LTDA</t>
  </si>
  <si>
    <t>Obra física concluída - Prazo de vigência do contrato: 07/11/2024</t>
  </si>
  <si>
    <t>JAMACARU - PORTEIRAS</t>
  </si>
  <si>
    <t>Missão Velha, Brejo Santo e Porteiras</t>
  </si>
  <si>
    <t>0115/2021</t>
  </si>
  <si>
    <t>CORAL - CONSTRUTORA RODOVALHO ALENCAR LTDA</t>
  </si>
  <si>
    <t>CE-265</t>
  </si>
  <si>
    <t>ENTR. CE-176 (MORRO REDONDO) – ENTR. CE-187 (NOVA RUSSAS)</t>
  </si>
  <si>
    <t>Nova Russas</t>
  </si>
  <si>
    <t>0063/2022</t>
  </si>
  <si>
    <t>CONSÓRCIO CONSTRAM / SILVEIRA SALLES</t>
  </si>
  <si>
    <t>Obra física concluída - Prazo de vigência do contrato: 20/08/2024</t>
  </si>
  <si>
    <t>Inaugurada em 23/07/24</t>
  </si>
  <si>
    <t xml:space="preserve">OBRA DE SUBSTITUIÇÃO DO TELHAMENTO DO TERMINAL DE PASSAGEIROS E SERVIÇOS DO AEROPORTO REGIONAL </t>
  </si>
  <si>
    <t>Aracati</t>
  </si>
  <si>
    <t>LITORAL LESTE</t>
  </si>
  <si>
    <t>0011/2023</t>
  </si>
  <si>
    <t>SINTRA ENGENHARIA E CONSULTORIA LTDA</t>
  </si>
  <si>
    <t>Aeroporto - Obra física concluída - Prazo de vigência do contrato:  13/10/2024</t>
  </si>
  <si>
    <t>CE-276</t>
  </si>
  <si>
    <t>ENTR. CE- 138 (IRACEMA) BASTIÕES</t>
  </si>
  <si>
    <t>Iracema</t>
  </si>
  <si>
    <t>0107/2023</t>
  </si>
  <si>
    <t>Obra física concluída - Prazo de vigência do contrato: 29/08/2024</t>
  </si>
  <si>
    <t>CE-253/CE-192</t>
  </si>
  <si>
    <t>PAVIMENTAÇÃO CE-253 E ACESSO BETÂNIA</t>
  </si>
  <si>
    <t>Ibiapina</t>
  </si>
  <si>
    <t>0348/2022</t>
  </si>
  <si>
    <t>CONSÓRCIO CETUS ARN CONSTRUÇÕES</t>
  </si>
  <si>
    <t>Obra física concluída - Prazo de vigência do contrato: 09/07/2024</t>
  </si>
  <si>
    <t>Inaugurada em 04/07/24</t>
  </si>
  <si>
    <t>CE-480</t>
  </si>
  <si>
    <t>ASSARÉ - CASA DO PATATIVA DE ASSARÉ</t>
  </si>
  <si>
    <t>Assaré</t>
  </si>
  <si>
    <t>0126/2022</t>
  </si>
  <si>
    <t>Obra Concluída -Sinalização Concluída.</t>
  </si>
  <si>
    <t>ACESSO</t>
  </si>
  <si>
    <t>Missão Velha</t>
  </si>
  <si>
    <t>0313/2023</t>
  </si>
  <si>
    <t>BB DE VASCONCELOS SERVICOS DE CONSTRUCOES LTDA</t>
  </si>
  <si>
    <t>CE-060</t>
  </si>
  <si>
    <t>TRECHO I (INÍCIO AVENIDA PERIMETRAL -
ENTR. CE 375) E TRECHO II (ENTR. CE 375 - PONTE SOBRE RIO JAGUARIBE)</t>
  </si>
  <si>
    <t>Iguatu</t>
  </si>
  <si>
    <t>CENTRO SUL</t>
  </si>
  <si>
    <t>0174/2021</t>
  </si>
  <si>
    <t>CONSÓRCIO VALE SERTÃO CENTRAL</t>
  </si>
  <si>
    <t>Aguardando aditivo de supressão</t>
  </si>
  <si>
    <t>OBRA CONCLUIDA - NECESSARIO DEFINIR SOBRE A SOLUÇÃO DO INICIO E FINAL DO TRECHO</t>
  </si>
  <si>
    <t>CE-341</t>
  </si>
  <si>
    <t>REQUALIFICAÇÃO DA ENTRADA PRINCIPAL DE PARACURU – CE</t>
  </si>
  <si>
    <t>Paracuru</t>
  </si>
  <si>
    <t>0136/2023</t>
  </si>
  <si>
    <t>CONPATE ENGENHARIA LTDA</t>
  </si>
  <si>
    <t>Interferências com a Cagece (notificação para correção) - 43022.009290/2024-97</t>
  </si>
  <si>
    <t>Necessário intervenção da CAGECE</t>
  </si>
  <si>
    <t>CE-279</t>
  </si>
  <si>
    <t>ENTR. BR-020 - UMBUZEIRO - PARAMBU</t>
  </si>
  <si>
    <t>Parambú</t>
  </si>
  <si>
    <t>SERTÃO DOS INHAMUNS</t>
  </si>
  <si>
    <t>D.O. DE TAUÁ</t>
  </si>
  <si>
    <t>0163/2022</t>
  </si>
  <si>
    <t xml:space="preserve">Apta a inaugurar. Sinalização Horizontal concluída e vertical em execução. </t>
  </si>
  <si>
    <t>IMPLANTAÇÃO DO CANAL DO RIACHO SECO</t>
  </si>
  <si>
    <t>0343/2022</t>
  </si>
  <si>
    <t>CONSORCIO V2 / ESTRUTURAL / JLV 2</t>
  </si>
  <si>
    <t>Aditivo final (R$ 72.421,29) para assinatura</t>
  </si>
  <si>
    <t>PASSAGEM MOLHADA - DISTRITO DE CAJAZEIRAS</t>
  </si>
  <si>
    <t>Senador Pompeu</t>
  </si>
  <si>
    <t>SERTÃO CENTRAL</t>
  </si>
  <si>
    <t>D.O. DE QUIXERAMOBIM</t>
  </si>
  <si>
    <t>0137/2023</t>
  </si>
  <si>
    <t>DATERRA CONSTRUCOES E SERVICOS LTDA</t>
  </si>
  <si>
    <t>Medição final - Estava aguardando o Aditivo</t>
  </si>
  <si>
    <t>CE-090</t>
  </si>
  <si>
    <t>ICARAÍ - CUMBUCO</t>
  </si>
  <si>
    <t>Caucaia</t>
  </si>
  <si>
    <t>0081/2023</t>
  </si>
  <si>
    <t>Aditivo R$ 547.963,74 (Ala de contenção da ponte antiga)
Aguardando abertura do sistema para ser inserida a última medição</t>
  </si>
  <si>
    <t>Inaugurada em 02/12/2024</t>
  </si>
  <si>
    <t>TOTAL DE OBRAS CONCLUÍDAS EM 2024</t>
  </si>
  <si>
    <t>Obra física concluída - Prazo de vigência do contrato 11/09/2024
TRECHO CONSIDERADO CONCLUÍDO EM 2023 NO FECHAMENTO DO ANO EM DEZEMBRO</t>
  </si>
  <si>
    <t xml:space="preserve"> -5.590298°</t>
  </si>
  <si>
    <t>-39.376141°</t>
  </si>
  <si>
    <t xml:space="preserve"> -7.315597°</t>
  </si>
  <si>
    <t xml:space="preserve"> -39.299533°</t>
  </si>
  <si>
    <t xml:space="preserve"> -4.571497°</t>
  </si>
  <si>
    <t xml:space="preserve"> -37.806720°</t>
  </si>
  <si>
    <t>085ECE0360D0</t>
  </si>
  <si>
    <t>085ECE0370D0</t>
  </si>
  <si>
    <t>085ECE0360E0</t>
  </si>
  <si>
    <t>085ECE0370E0</t>
  </si>
  <si>
    <t>085ECE0380D0</t>
  </si>
  <si>
    <t>085ECE0380E0</t>
  </si>
  <si>
    <t>350ECE0004S0</t>
  </si>
  <si>
    <t>350ECE0002S0</t>
  </si>
  <si>
    <t>155ECE0150S0</t>
  </si>
  <si>
    <t>040ECE0040D0</t>
  </si>
  <si>
    <t>040ECE0040E0</t>
  </si>
  <si>
    <t>040ECE0050D0</t>
  </si>
  <si>
    <t>040ECE0050E0</t>
  </si>
  <si>
    <t>040ECE0060D0</t>
  </si>
  <si>
    <t>040ECE0060E0</t>
  </si>
  <si>
    <t>040ECE0070D0</t>
  </si>
  <si>
    <t>040ECE0070E0</t>
  </si>
  <si>
    <t>040ECE0090D0</t>
  </si>
  <si>
    <t>040ECE0090E0</t>
  </si>
  <si>
    <t>040ECE0110D0</t>
  </si>
  <si>
    <t>040ECE0110E0</t>
  </si>
  <si>
    <t>040ECE0130D0</t>
  </si>
  <si>
    <t>040ECE0130E0</t>
  </si>
  <si>
    <t>040ECE0150D0</t>
  </si>
  <si>
    <t>040ECE0150E0</t>
  </si>
  <si>
    <t>040ECE0170D0</t>
  </si>
  <si>
    <t>040ECE0170E0</t>
  </si>
  <si>
    <t>040ECE0180D0</t>
  </si>
  <si>
    <t>040ECE0180E0</t>
  </si>
  <si>
    <t>065ECE0210S0</t>
  </si>
  <si>
    <t>469ECE0020S0</t>
  </si>
  <si>
    <t>447ECE0030S0</t>
  </si>
  <si>
    <t>447ECE0010S0</t>
  </si>
  <si>
    <t>153ECE0420S0</t>
  </si>
  <si>
    <t>153ECE0410S0</t>
  </si>
  <si>
    <t>265ECE0350S0</t>
  </si>
  <si>
    <t>276ECE0060S0</t>
  </si>
  <si>
    <t>253ECE0535S0</t>
  </si>
  <si>
    <t>253ECE0540S0</t>
  </si>
  <si>
    <t>480ECE0010S0</t>
  </si>
  <si>
    <t>153ECE0380S0</t>
  </si>
  <si>
    <t>060ECE0570S0</t>
  </si>
  <si>
    <t>060ECE0590S0</t>
  </si>
  <si>
    <t>341ECE0005S0</t>
  </si>
  <si>
    <t>279ECE0010S0</t>
  </si>
  <si>
    <t>279ECE0030S0</t>
  </si>
  <si>
    <t>090ECE0050E0</t>
  </si>
  <si>
    <t>090ECE0050D0</t>
  </si>
  <si>
    <t>OBRAS CONCLUÍDAS 2025</t>
  </si>
  <si>
    <t>CE-603</t>
  </si>
  <si>
    <t>ENTR. BR 020 (CARIDADE) - SÃO DOMINGOS</t>
  </si>
  <si>
    <t>Caridade</t>
  </si>
  <si>
    <t>SERTÃO DE CANINDÉ</t>
  </si>
  <si>
    <t>CONCLUÍDO</t>
  </si>
  <si>
    <t>0031/2024</t>
  </si>
  <si>
    <t>DATERRA CONSTRUCOES 
E SERVICOS LTDA</t>
  </si>
  <si>
    <t>Concluído, aguardando sinalização (DETRAN).</t>
  </si>
  <si>
    <t>Apta O.S política</t>
  </si>
  <si>
    <t>CE-493</t>
  </si>
  <si>
    <t>BARRO BRANCO - SÍTIO SANTANA</t>
  </si>
  <si>
    <t>0002/2024</t>
  </si>
  <si>
    <t>CORAL CONSTRUTORA RODOVALHO ALENCAR LTDA</t>
  </si>
  <si>
    <t>Falta Remenejamento de um poste (43022.009503/2024-81  - Of nº 083/2024-SEINFRA/SEXEC-ETE) e Sinalização (43022.000034/2025-15 - 06/01/2025)  - OBRA CONCLUÍDA EM ABR./2025</t>
  </si>
  <si>
    <t>CE-176</t>
  </si>
  <si>
    <t>ENTR. CE-240 (MIRAÍMA) – CARACARÁ</t>
  </si>
  <si>
    <t>Miraíma e Sobral</t>
  </si>
  <si>
    <t>LITORAL OESTE / VALE DO CURU
SERTÃO DE SOBRAL</t>
  </si>
  <si>
    <t>D.O. DE ITAPIPOCA / 
D.O. DE SOBRAL</t>
  </si>
  <si>
    <t>0308/2022</t>
  </si>
  <si>
    <t>CONSÓRCIO E&amp;J/SS-ESTRADA MIRAIMA</t>
  </si>
  <si>
    <t>Evento O.S: 06/09/2022</t>
  </si>
  <si>
    <t>CE-449</t>
  </si>
  <si>
    <t>ENTR. CE473 (NENELÂNDIA) – ENTR. CE-166 (CANHOTINHO)</t>
  </si>
  <si>
    <t>Quixeramobim</t>
  </si>
  <si>
    <t>0167/2023</t>
  </si>
  <si>
    <t>Falta conclusão da concretagem do guarda-corpo de uma das pontes</t>
  </si>
  <si>
    <t xml:space="preserve">Evento O.S: 18/03/2022 </t>
  </si>
  <si>
    <t xml:space="preserve"> CE-189 E CE-265</t>
  </si>
  <si>
    <t>EXECUÇÃO DA SUBSTITUIÇÃO DE DUAS PASSAGENS MOLHADAS EXISTENTES POR BUEIROS NO RIACHO CANABRAVA NA CE-189 NO TRECHO ARARENDÁ - IPAPORANGA E NA CE-265 NO TRECHO ARARENDÁ – PORANGA</t>
  </si>
  <si>
    <t>Ararendá</t>
  </si>
  <si>
    <t>0034/2024</t>
  </si>
  <si>
    <t>SALINAS EMPREENDIMENTOS 
E CONSTRUCOES LTDA</t>
  </si>
  <si>
    <t>Concluida</t>
  </si>
  <si>
    <t>IMPLANTAÇÃO DA ROTATÓRIA DE ACESSO AO GATE 2 DO PORTO DO PECÉM NA CE-155</t>
  </si>
  <si>
    <t>0035/2024</t>
  </si>
  <si>
    <t>CCS CONSTRUÇÕES LTDA</t>
  </si>
  <si>
    <t>Obra concluida 
Aguardando sinalização (NUP 43022.004716/2025-05)</t>
  </si>
  <si>
    <t>CE-060/CE-487</t>
  </si>
  <si>
    <t>ILUMINAÇÃO PÚBLICA DAS CE-060 e CE- 487 NOS TRECHOS IV E V DO CONTORNO DE JUAZEIRO DO NORTE</t>
  </si>
  <si>
    <t>Juazeiro do Norte</t>
  </si>
  <si>
    <t>0053/2024</t>
  </si>
  <si>
    <t>VIEIRA ALVES CONSTRUÇÃO LTDA</t>
  </si>
  <si>
    <t>Solicitação de ligação junto a prefeitura</t>
  </si>
  <si>
    <r>
      <rPr>
        <sz val="11"/>
        <color theme="1"/>
        <rFont val="Calibri"/>
      </rPr>
      <t xml:space="preserve">CAPACITAÇÃO E TREINAMENTO DE MULHERES NA OPERAÇÃO DE MÁQUINAS PESADAS, NO ÂMBITO DO PROGRAMA INFRARODOVIÁRIA CEARÁ </t>
    </r>
    <r>
      <rPr>
        <b/>
        <sz val="11"/>
        <color theme="1"/>
        <rFont val="Calibri"/>
      </rPr>
      <t>- BID</t>
    </r>
  </si>
  <si>
    <t>Quixeré</t>
  </si>
  <si>
    <t>0064/2024</t>
  </si>
  <si>
    <r>
      <rPr>
        <sz val="11"/>
        <color rgb="FF000000"/>
        <rFont val="Calibri"/>
      </rPr>
      <t>FORNECEDORA ENGELOG</t>
    </r>
  </si>
  <si>
    <t>CE-487</t>
  </si>
  <si>
    <t>PAVIMENTAÇÃO DO TRECHO V DA AVENIDA DO CONTORNO DE JUAZEIRO DO NORTE</t>
  </si>
  <si>
    <t>0142/2021</t>
  </si>
  <si>
    <t>Trecho concluído
Aguardando sinalização do final do trecho (43022.009275/2024-49 - 04/09/2024)
Iluminação sendo realizada pelo contrato nº 0053/2024 - SOP - Aguardando ligação da Enel</t>
  </si>
  <si>
    <t>CE-371</t>
  </si>
  <si>
    <r>
      <rPr>
        <sz val="11"/>
        <color theme="1"/>
        <rFont val="Calibri"/>
      </rPr>
      <t xml:space="preserve"> ENTR. BR-230(A) (CARMELÓPOLIS) - ENTR. CE-187/BR-230(B) (CAMPOS SALES) </t>
    </r>
    <r>
      <rPr>
        <b/>
        <sz val="11"/>
        <color theme="1"/>
        <rFont val="Calibri"/>
      </rPr>
      <t>- BID</t>
    </r>
  </si>
  <si>
    <t>Campos Sales</t>
  </si>
  <si>
    <t>0028/2024</t>
  </si>
  <si>
    <t>A.L. TEIXEIRA PINHEIRO LTDA</t>
  </si>
  <si>
    <r>
      <rPr>
        <sz val="11"/>
        <color theme="1"/>
        <rFont val="Calibri"/>
      </rPr>
      <t xml:space="preserve"> ENTR. CE-176(A) p/ ASSARÉ (ANTONINA DO NORTE) - ENTR. BR-230(A) (CARMELÓPOLIS) -</t>
    </r>
    <r>
      <rPr>
        <b/>
        <sz val="11"/>
        <color theme="1"/>
        <rFont val="Calibri"/>
      </rPr>
      <t xml:space="preserve"> BID</t>
    </r>
  </si>
  <si>
    <t>Antonina do Norte e Campos Sales</t>
  </si>
  <si>
    <t>0027/2024</t>
  </si>
  <si>
    <t>CBC - CONSTRUTORA BATISTA 
CAVALCANTE LTDA</t>
  </si>
  <si>
    <t>CE-588</t>
  </si>
  <si>
    <t>SANTANA DO CARIRI – PONTAL DE SANTA CRUZ</t>
  </si>
  <si>
    <t>Santana do Cariri</t>
  </si>
  <si>
    <t>0335/2022</t>
  </si>
  <si>
    <t xml:space="preserve"> A.L. TEIXEIRA PINHEIRO LTDA</t>
  </si>
  <si>
    <t>Execução do calçamento e CBUQ</t>
  </si>
  <si>
    <t>CE-192</t>
  </si>
  <si>
    <t>LAGOA DAS PEDRAS - SANTANA</t>
  </si>
  <si>
    <t>0119/2023</t>
  </si>
  <si>
    <t>TSD + CALÇAMENTO</t>
  </si>
  <si>
    <t>Drenagem superficial e mudança do calçamento para solo brita nos alargamentos</t>
  </si>
  <si>
    <t>Evento O.S: 01/07/2023</t>
  </si>
  <si>
    <r>
      <rPr>
        <sz val="11"/>
        <color theme="1"/>
        <rFont val="Calibri"/>
      </rPr>
      <t xml:space="preserve">ENTR. CE-168/284 (B)(CRUZETA) - ENTR. CE-176 (ANTONINA DO NORTE </t>
    </r>
    <r>
      <rPr>
        <b/>
        <sz val="11"/>
        <color theme="1"/>
        <rFont val="Calibri"/>
      </rPr>
      <t>- BID</t>
    </r>
  </si>
  <si>
    <t>Saboeiro e Antonina do Norte</t>
  </si>
  <si>
    <t>D.O. DE IGUATU / D.O. DE TAUÁ</t>
  </si>
  <si>
    <t>0026/2024</t>
  </si>
  <si>
    <t>CORAL CONSTRUTORA RODOVALHO 
ALENCAR LTDA</t>
  </si>
  <si>
    <t>URBANIZAÇÃO DOS RIOS MARANGUAPINHO E COCÓ</t>
  </si>
  <si>
    <t>Fortaleza</t>
  </si>
  <si>
    <t>0127/2022</t>
  </si>
  <si>
    <t>FORTEKS ENGENHARIA E SERVIÇOS ESPECIAIS LTDA</t>
  </si>
  <si>
    <t xml:space="preserve">Melhorou o ritmo mas continua lento
</t>
  </si>
  <si>
    <t>RECUPERAÇÃO DA PONTE SOBRE O RIO SÃO GONÇALO</t>
  </si>
  <si>
    <t>807,84 m²</t>
  </si>
  <si>
    <t>SÃO GONÇALO DO AMARANTE</t>
  </si>
  <si>
    <t>0119/2025</t>
  </si>
  <si>
    <t xml:space="preserve">CONSTRUTORA SAMARIA LTDA </t>
  </si>
  <si>
    <t xml:space="preserve">PROC. DA LIC. 43022.004282/2025-35
</t>
  </si>
  <si>
    <t>TOTAL DE OBRAS CONCLUÍDAS EM 2025</t>
  </si>
  <si>
    <t>603ECE0010S0</t>
  </si>
  <si>
    <t>493ECE0070S0</t>
  </si>
  <si>
    <t>176ECE0090S0</t>
  </si>
  <si>
    <t>449ECE0010S0</t>
  </si>
  <si>
    <t xml:space="preserve"> -4.752503°</t>
  </si>
  <si>
    <t xml:space="preserve"> -40.831388°</t>
  </si>
  <si>
    <t xml:space="preserve"> -3.548216°</t>
  </si>
  <si>
    <t xml:space="preserve"> -38.815733°</t>
  </si>
  <si>
    <t xml:space="preserve"> -7.226079°</t>
  </si>
  <si>
    <t xml:space="preserve"> -39.326630°</t>
  </si>
  <si>
    <t xml:space="preserve"> -5.074284°</t>
  </si>
  <si>
    <t xml:space="preserve"> -37.990856°</t>
  </si>
  <si>
    <t>487ECE0010E0</t>
  </si>
  <si>
    <t>487ECE0010D0</t>
  </si>
  <si>
    <t>371ECE0610S0</t>
  </si>
  <si>
    <t>371ECE0590S0</t>
  </si>
  <si>
    <t>588ECE0010S0</t>
  </si>
  <si>
    <t>192ECE0240S0</t>
  </si>
  <si>
    <t>371ECE0570S0</t>
  </si>
  <si>
    <t>176ECE0400S0</t>
  </si>
  <si>
    <t xml:space="preserve"> -3.776425°</t>
  </si>
  <si>
    <t xml:space="preserve"> -38.593655°</t>
  </si>
  <si>
    <t xml:space="preserve"> -3.602600°</t>
  </si>
  <si>
    <t xml:space="preserve"> -38.973720°</t>
  </si>
  <si>
    <t>CE-273</t>
  </si>
  <si>
    <t>ENTR. BR-116 - CURUPATI</t>
  </si>
  <si>
    <t>ROBERTO COLARES DE HOLANDA JR</t>
  </si>
  <si>
    <t>Jaguaribara</t>
  </si>
  <si>
    <t>0184/2022</t>
  </si>
  <si>
    <t>CLPT CONSTRUTORA EIRELE EPP</t>
  </si>
  <si>
    <t>Liberação do ICMBIO</t>
  </si>
  <si>
    <t>CE-354</t>
  </si>
  <si>
    <t>ENTR. BR-222 (UMIRIM) - PENTECOSTE</t>
  </si>
  <si>
    <t>VIRNA GOMES DE PAULA</t>
  </si>
  <si>
    <t>Umirim e Pentecoste</t>
  </si>
  <si>
    <t>0017/2025</t>
  </si>
  <si>
    <t>PAVIMENTAÇÃO</t>
  </si>
  <si>
    <t>DUPLICAÇÃO</t>
  </si>
  <si>
    <t>RESTAURAÇÃO</t>
  </si>
  <si>
    <t>RECUPERAÇÃO FUNCIONAL</t>
  </si>
  <si>
    <t>LISTA DE OBRAS RODOVIÁRIAS - PROGRAMA: CEARÁ DE PONTA A PONTA</t>
  </si>
  <si>
    <t>FISCAL</t>
  </si>
  <si>
    <t>VIGÊNCIA DO 
CONTRATO</t>
  </si>
  <si>
    <t>PREVISÃO DE CONCLUSÃO</t>
  </si>
  <si>
    <t>EMPREGOS DIRETOS</t>
  </si>
  <si>
    <t>EMPREGOS INDIRETOS</t>
  </si>
  <si>
    <t>TOTAL EMPENHADO
(R$)</t>
  </si>
  <si>
    <t>STATUS
FINANCEIRO (%)</t>
  </si>
  <si>
    <t>SALDO DO CONTRATO
(R$)</t>
  </si>
  <si>
    <t>PREVISÃO PARA 2025 
(R$)</t>
  </si>
  <si>
    <t>INTERFERÊNCIA</t>
  </si>
  <si>
    <t>CE-293</t>
  </si>
  <si>
    <t>ENTR. BR-116 - MISSÃO VELHA</t>
  </si>
  <si>
    <t>FRANCISCO EDUARDO FONTENELE CIDRÃO</t>
  </si>
  <si>
    <t>Missão Velha, Abaiara e Milagres</t>
  </si>
  <si>
    <t>EM EXECUÇÃO</t>
  </si>
  <si>
    <t>0201/2021</t>
  </si>
  <si>
    <t>CONSÓRCIO DUPLICAÇÃO RODOVIA CE 293
(CLC E R. FURLANI)</t>
  </si>
  <si>
    <t>Falta menos de 2 km de pavimentação e a Barreira New Jersey</t>
  </si>
  <si>
    <t>CE-388</t>
  </si>
  <si>
    <t>CONTORNO DE CRATO</t>
  </si>
  <si>
    <t>GERALDO ERIBERTO WERTON CRUZ</t>
  </si>
  <si>
    <t>Crato</t>
  </si>
  <si>
    <t>0166/2022</t>
  </si>
  <si>
    <t>Aguardando conclusão das desapropriações - processos na PGE (mutirão realizado em janeiro - vários acordos assinados) . Todavia não foram pagos. PROPRIETÁRIOS QUE SÓ LIBERAM A PASSAGEM APOS O PAGAMENTO (Quant. 12 e Valor: R$ 2.588.162,50). 
 Valor total R$ 5.621.368,26</t>
  </si>
  <si>
    <t>Evento O.S: 04/05/2022</t>
  </si>
  <si>
    <t>ENTR. CE-163 (GUALDRAPAS) - ENTR. CE-168 (BARRENTO)</t>
  </si>
  <si>
    <t>JOSÉ ILO DE OLIVEIRA SANTIAGO</t>
  </si>
  <si>
    <t>Trairi e Itapipoca</t>
  </si>
  <si>
    <t>GRANDE FORTALEZA e 
LITORAL OESTE / VALE DO CURU</t>
  </si>
  <si>
    <t>Em execução - Interveniente Técnico</t>
  </si>
  <si>
    <t>J029/2022</t>
  </si>
  <si>
    <t>/</t>
  </si>
  <si>
    <t>CONSTRUTORA E &amp; J LTDA - ME</t>
  </si>
  <si>
    <t>Em execução - Interveniente Técnico (contrato SETUR)</t>
  </si>
  <si>
    <t xml:space="preserve">Evento O.S: 07/03/2023 </t>
  </si>
  <si>
    <t>CE-293/
495</t>
  </si>
  <si>
    <t xml:space="preserve"> ENTR. CE-060 (BARBALHA) - KM 52,25 (1,24 KM) E ACESSO LIGANDO O ENTR. CE-060 (KM 530,87) À
RUA DR. LUCIANO TORRES DE MELO (7,40 KM)</t>
  </si>
  <si>
    <t>0315/2023</t>
  </si>
  <si>
    <t>Remanejamento de postes - 
 Remanjemaneto de adutora (CAGECE)
Desapropriação</t>
  </si>
  <si>
    <t>CE-148</t>
  </si>
  <si>
    <t>DUPLICAÇÃO DA RUA BETEL E M NO ACESSO AO HOSPITAL UNIVERSITÁRIO DO CEARÁ (HUC) – UECE</t>
  </si>
  <si>
    <t>HERMANO ZENAIDE FILHO</t>
  </si>
  <si>
    <t>0005/2024</t>
  </si>
  <si>
    <t>ATHOS CONSTRUÇOES LTDA</t>
  </si>
  <si>
    <t>Estacionamento Concluido
 Falta conclusão da duplicação da Rua M e Betel e Acesso a Universidade (em execução)
Definição do Centro Zoonoses</t>
  </si>
  <si>
    <t>CE-010</t>
  </si>
  <si>
    <t>OBRAS DO REMANESCENTE DA DUPLICAÇÃO E MELHORAMENTOS DO ANEL VIÁRIO DE FORTALEZA</t>
  </si>
  <si>
    <t>0040/2024</t>
  </si>
  <si>
    <t>CONSÓRCIO NOVO ANEL VIÁRIO (COESA CONSTRUÇÃO E MONTAGENS S.A, LACA ENGENHARIA LTDA, SAEID ENGENHARIA LTDA e DACT ENGENHARIA LTDA)</t>
  </si>
  <si>
    <t>Ritmo lento
 Execução de retornos
 Aguardando liberação da TAG para execução de alças da int. com a CE-060 (previsão setembro)</t>
  </si>
  <si>
    <t>TRECHO VI DO CONTORNO DO JUAZEIRO DO NORTE, ENTR. DA CE-060 (RUA LINDALVA RODRIGUES BEZERRA) - ENTR. DA RUA ANTÔNIA DAMASCENO DOS SANTOS (AEROPORTO)</t>
  </si>
  <si>
    <t>CRISTINA PALACIO MIGUEL</t>
  </si>
  <si>
    <t>0082/2025</t>
  </si>
  <si>
    <t>Inicio em maio</t>
  </si>
  <si>
    <t>CE-425</t>
  </si>
  <si>
    <t>ENTR . CE- 187 (ACESSO SUL P/ GUARACIABA) - ENTR CE- 187 (ACESSO OESTE P/ GUARACIABA )</t>
  </si>
  <si>
    <t>AGABE SOUSA LINHARES</t>
  </si>
  <si>
    <t>Guaraciaba do Norte</t>
  </si>
  <si>
    <t>0133/2023</t>
  </si>
  <si>
    <t>CONSTRAM- CONSTRUÇÃO E ALUGUEL DE MÁQUINAS LTDA - EPP</t>
  </si>
  <si>
    <t>Despropriação (necessita de apoio da prefeitura)</t>
  </si>
  <si>
    <t>Evento O.S: 10/01/2024</t>
  </si>
  <si>
    <t>CE-216</t>
  </si>
  <si>
    <t>MARCO – ENTR. BR-402</t>
  </si>
  <si>
    <t>Marco e Morrinhos</t>
  </si>
  <si>
    <t>11/07/0206</t>
  </si>
  <si>
    <t>0001/2024</t>
  </si>
  <si>
    <t>CONSÓRCIO CONSTRAM/CORAL</t>
  </si>
  <si>
    <t>Evento O.S: 20/02/2024</t>
  </si>
  <si>
    <t>CE-187</t>
  </si>
  <si>
    <t>JOSÉ WILLIAN MOREIRA LEITE</t>
  </si>
  <si>
    <t>Campos Sales e Aiuaba</t>
  </si>
  <si>
    <t>0021/2024</t>
  </si>
  <si>
    <t xml:space="preserve"> MACIEL CONSTRUCOES E TERRAPLANAGENS S.A</t>
  </si>
  <si>
    <t>CE-232</t>
  </si>
  <si>
    <t>MORAÚJO - DISTRITO DE TABAINHA</t>
  </si>
  <si>
    <t>Moraújo e Tianguá</t>
  </si>
  <si>
    <t>SERTÃO DE SOBRAL</t>
  </si>
  <si>
    <t>D.O. DE SOBRAL</t>
  </si>
  <si>
    <t>0023/2024</t>
  </si>
  <si>
    <t xml:space="preserve">Necessidade de Remanejamento de Postes. </t>
  </si>
  <si>
    <t>CE-486</t>
  </si>
  <si>
    <t>REQUALIFICAÇÃO DA PAVIMENTAÇÃO E DRENAGEM DO CANAL DO RIO GRANJEIRO EM CRATO – CE</t>
  </si>
  <si>
    <t>0061/2024</t>
  </si>
  <si>
    <t>CONSÓRCIO RIO GRANJEIRO (Dois A Engenharia E Tecnologia Ltda, Vipetro Construções E Montagens Industriais Ltda, Ster Engenharia Ltda, F Dois Engenharia Ltda E Paulo Victor Moreira De Pinho Melo.)
E TECNOLOGIA LTDA</t>
  </si>
  <si>
    <t>Projeto de Estrututra ate dia 27/06
Mobilização de equip. ate 27/06
Laudos dos imoveis antes da intervenção</t>
  </si>
  <si>
    <t>CE-275/
CE-371</t>
  </si>
  <si>
    <t>TRECHO 1: DEPUTADO IRAPUAN PINHEIRO -  DISTRITO DE  BAIXIO (EXTENSÃO DE 7,84 KM) 
TRECHO 2: CONTORNO DE DEPUTADO IRAPUAN  PINHEIRO (EXTENSÃO DE 3,02 KM)</t>
  </si>
  <si>
    <t>DAVI BRAGA FEITOSA</t>
  </si>
  <si>
    <t>Deputado Irapuan Pinheiro</t>
  </si>
  <si>
    <t>0008/2024</t>
  </si>
  <si>
    <t>CONSÓRCIO CEARÁ II FORTALEZA</t>
  </si>
  <si>
    <t>CE-496</t>
  </si>
  <si>
    <t>FCO EDUARDO FONTENELE CIDRÃO</t>
  </si>
  <si>
    <t>Brejo Santo e Abaiara</t>
  </si>
  <si>
    <t>0069/2024</t>
  </si>
  <si>
    <t>R FURLANI ENGENHARIA LTDA</t>
  </si>
  <si>
    <t>CE-387</t>
  </si>
  <si>
    <t>ENTR. CE- 151 – DIVISA CE / PB</t>
  </si>
  <si>
    <t>FCO TELES GOMES PEREIRA</t>
  </si>
  <si>
    <t>Umari</t>
  </si>
  <si>
    <t>0075/2024</t>
  </si>
  <si>
    <t>SALINAS EMPREENDIMENTOS E CONSTRUCOES LTDA</t>
  </si>
  <si>
    <t xml:space="preserve"> ENTR. CE-284 (BARRA)  - BARÃO DE AQUIRAZ - BID</t>
  </si>
  <si>
    <t>BREJO SANTO - ABAIARA -  BID</t>
  </si>
  <si>
    <t>273ECE0090S0</t>
  </si>
  <si>
    <t>354ECE0310S0</t>
  </si>
  <si>
    <t>293ECE0010D0</t>
  </si>
  <si>
    <t>293ECE0010E0</t>
  </si>
  <si>
    <t>293ECE0030D0</t>
  </si>
  <si>
    <t>293ECE0030E0</t>
  </si>
  <si>
    <t>293ECE0050D0</t>
  </si>
  <si>
    <t>293ECE0050E0</t>
  </si>
  <si>
    <t>388ECE0130D0</t>
  </si>
  <si>
    <t>388ECE0130E0</t>
  </si>
  <si>
    <t>388ECE0140D0</t>
  </si>
  <si>
    <t>388ECE0140E0</t>
  </si>
  <si>
    <t>085ECE0270D0</t>
  </si>
  <si>
    <t>085ECE0270E0</t>
  </si>
  <si>
    <t>085ECE0280D0</t>
  </si>
  <si>
    <t>085ECE0280E0</t>
  </si>
  <si>
    <t>085ECE0285D0</t>
  </si>
  <si>
    <t>085ECE0285E0</t>
  </si>
  <si>
    <t>495ECE0030S0</t>
  </si>
  <si>
    <t>148ECE0030S0</t>
  </si>
  <si>
    <t>425ECE0030S0</t>
  </si>
  <si>
    <t>216ECE0030S0</t>
  </si>
  <si>
    <t>496ECE0030S0</t>
  </si>
  <si>
    <t>010ECE0030D0</t>
  </si>
  <si>
    <t>010ECE0030E0</t>
  </si>
  <si>
    <t>010ECE0040D0</t>
  </si>
  <si>
    <t>010ECE0040E0</t>
  </si>
  <si>
    <t>010ECE0050D0</t>
  </si>
  <si>
    <t>010ECE0050E0</t>
  </si>
  <si>
    <t>010ECE0070E0</t>
  </si>
  <si>
    <t>010ECE0070D0</t>
  </si>
  <si>
    <t>010ECE0080D0</t>
  </si>
  <si>
    <t>010ECE0080E0</t>
  </si>
  <si>
    <t>010ECE0090E0</t>
  </si>
  <si>
    <t>010ECE0090D0</t>
  </si>
  <si>
    <t xml:space="preserve"> -7,200193°</t>
  </si>
  <si>
    <t xml:space="preserve"> -39,287624°</t>
  </si>
  <si>
    <t>425ECE0010S0</t>
  </si>
  <si>
    <t>187ECE0640S0</t>
  </si>
  <si>
    <t>232ECE0160N0</t>
  </si>
  <si>
    <t>232ECE0150N0</t>
  </si>
  <si>
    <t>486ECE0020S0</t>
  </si>
  <si>
    <t>275ECE0115S0</t>
  </si>
  <si>
    <t>275ECE0110S0</t>
  </si>
  <si>
    <t>462ECE0010S0</t>
  </si>
  <si>
    <t>462ECE0030S0</t>
  </si>
  <si>
    <t>387ECE0010S0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</si>
</sst>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&quot;\ * #,##0.00_-;\-&quot;R$&quot;\ * #,##0.00_-;_-&quot;R$&quot;\ * &quot;-&quot;??_-;_-@"/>
    <numFmt numFmtId="165" formatCode="_([$R$ -416]* #,##0.00_);_([$R$ -416]* \(#,##0.00\);_([$R$ -416]* &quot;-&quot;??_);_(@_)"/>
    <numFmt numFmtId="166" formatCode="0.00\ &quot;Km&quot;"/>
    <numFmt numFmtId="167" formatCode="dd/mm/yy"/>
    <numFmt numFmtId="168" formatCode="d/m/yyyy"/>
    <numFmt numFmtId="169" formatCode="0.00&quot;%&quot;"/>
    <numFmt numFmtId="170" formatCode="#,##0.000000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sz val="11"/>
      <color rgb="FFFF0000"/>
      <name val="Calibri"/>
      <family val="2"/>
    </font>
    <font>
      <b/>
      <sz val="11"/>
      <color rgb="FFFFFFFF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0"/>
      <name val="Calibri"/>
    </font>
    <font>
      <sz val="11"/>
      <color rgb="FF000000"/>
      <name val="Docs-Calibri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7" fillId="2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2" fontId="4" fillId="0" borderId="7" xfId="0" applyNumberFormat="1" applyFont="1" applyBorder="1" applyAlignment="1">
      <alignment horizontal="center" vertical="center"/>
    </xf>
    <xf numFmtId="14" fontId="4" fillId="0" borderId="7" xfId="0" applyNumberFormat="1" applyFont="1" applyBorder="1" applyAlignment="1">
      <alignment horizontal="center" vertical="center" wrapText="1"/>
    </xf>
    <xf numFmtId="14" fontId="4" fillId="0" borderId="7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4" fillId="0" borderId="7" xfId="0" applyNumberFormat="1" applyFont="1" applyBorder="1" applyAlignment="1">
      <alignment horizontal="center" vertical="center" wrapText="1"/>
    </xf>
    <xf numFmtId="4" fontId="4" fillId="0" borderId="7" xfId="0" applyNumberFormat="1" applyFont="1" applyBorder="1" applyAlignment="1">
      <alignment horizontal="center" vertical="center" wrapText="1"/>
    </xf>
    <xf numFmtId="4" fontId="8" fillId="2" borderId="7" xfId="0" applyNumberFormat="1" applyFont="1" applyFill="1" applyBorder="1" applyAlignment="1">
      <alignment horizontal="center" vertical="center"/>
    </xf>
    <xf numFmtId="164" fontId="8" fillId="2" borderId="7" xfId="0" applyNumberFormat="1" applyFont="1" applyFill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2" fontId="4" fillId="4" borderId="7" xfId="0" applyNumberFormat="1" applyFont="1" applyFill="1" applyBorder="1" applyAlignment="1">
      <alignment horizontal="center" vertical="center"/>
    </xf>
    <xf numFmtId="14" fontId="4" fillId="4" borderId="7" xfId="0" applyNumberFormat="1" applyFont="1" applyFill="1" applyBorder="1" applyAlignment="1">
      <alignment horizontal="center" vertical="center" wrapText="1"/>
    </xf>
    <xf numFmtId="14" fontId="4" fillId="4" borderId="7" xfId="0" applyNumberFormat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165" fontId="4" fillId="4" borderId="7" xfId="0" applyNumberFormat="1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3" fillId="6" borderId="11" xfId="0" applyFont="1" applyFill="1" applyBorder="1" applyAlignment="1">
      <alignment vertical="center"/>
    </xf>
    <xf numFmtId="0" fontId="4" fillId="6" borderId="1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2" fontId="4" fillId="4" borderId="7" xfId="0" applyNumberFormat="1" applyFont="1" applyFill="1" applyBorder="1" applyAlignment="1">
      <alignment horizontal="center" vertical="center" wrapText="1"/>
    </xf>
    <xf numFmtId="164" fontId="4" fillId="4" borderId="7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vertical="center" wrapText="1"/>
    </xf>
    <xf numFmtId="165" fontId="4" fillId="4" borderId="7" xfId="0" applyNumberFormat="1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4" fontId="8" fillId="2" borderId="7" xfId="0" applyNumberFormat="1" applyFont="1" applyFill="1" applyBorder="1" applyAlignment="1">
      <alignment horizontal="center" vertical="center" wrapText="1"/>
    </xf>
    <xf numFmtId="164" fontId="8" fillId="2" borderId="7" xfId="0" applyNumberFormat="1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2" fillId="0" borderId="11" xfId="0" applyFont="1" applyBorder="1" applyAlignment="1">
      <alignment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wrapText="1"/>
    </xf>
    <xf numFmtId="4" fontId="15" fillId="2" borderId="7" xfId="0" applyNumberFormat="1" applyFont="1" applyFill="1" applyBorder="1" applyAlignment="1">
      <alignment horizontal="center" vertical="center" wrapText="1"/>
    </xf>
    <xf numFmtId="164" fontId="15" fillId="2" borderId="7" xfId="0" applyNumberFormat="1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 wrapText="1"/>
    </xf>
    <xf numFmtId="0" fontId="1" fillId="0" borderId="0" xfId="0" applyFont="1"/>
    <xf numFmtId="4" fontId="7" fillId="2" borderId="7" xfId="0" applyNumberFormat="1" applyFont="1" applyFill="1" applyBorder="1" applyAlignment="1">
      <alignment horizontal="center" vertical="center" wrapText="1"/>
    </xf>
    <xf numFmtId="2" fontId="17" fillId="4" borderId="14" xfId="0" applyNumberFormat="1" applyFont="1" applyFill="1" applyBorder="1" applyAlignment="1">
      <alignment horizontal="center" vertical="center" wrapText="1"/>
    </xf>
    <xf numFmtId="166" fontId="4" fillId="0" borderId="7" xfId="0" applyNumberFormat="1" applyFont="1" applyBorder="1" applyAlignment="1">
      <alignment horizontal="center" vertical="center"/>
    </xf>
    <xf numFmtId="164" fontId="17" fillId="4" borderId="7" xfId="0" applyNumberFormat="1" applyFont="1" applyFill="1" applyBorder="1" applyAlignment="1">
      <alignment horizontal="center" vertical="center" wrapText="1"/>
    </xf>
    <xf numFmtId="4" fontId="4" fillId="4" borderId="7" xfId="0" applyNumberFormat="1" applyFont="1" applyFill="1" applyBorder="1" applyAlignment="1">
      <alignment horizontal="center" vertical="center" wrapText="1"/>
    </xf>
    <xf numFmtId="10" fontId="4" fillId="0" borderId="6" xfId="0" applyNumberFormat="1" applyFont="1" applyBorder="1" applyAlignment="1">
      <alignment horizontal="center" vertical="center"/>
    </xf>
    <xf numFmtId="10" fontId="4" fillId="0" borderId="7" xfId="0" applyNumberFormat="1" applyFont="1" applyBorder="1" applyAlignment="1">
      <alignment horizontal="center" vertical="center"/>
    </xf>
    <xf numFmtId="0" fontId="4" fillId="4" borderId="7" xfId="0" applyFont="1" applyFill="1" applyBorder="1" applyAlignment="1">
      <alignment vertical="center"/>
    </xf>
    <xf numFmtId="4" fontId="4" fillId="4" borderId="7" xfId="0" applyNumberFormat="1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4" fillId="4" borderId="14" xfId="0" applyNumberFormat="1" applyFont="1" applyFill="1" applyBorder="1" applyAlignment="1">
      <alignment horizontal="center" vertical="center" wrapText="1"/>
    </xf>
    <xf numFmtId="10" fontId="4" fillId="4" borderId="7" xfId="0" applyNumberFormat="1" applyFont="1" applyFill="1" applyBorder="1" applyAlignment="1">
      <alignment horizontal="center" vertical="center"/>
    </xf>
    <xf numFmtId="167" fontId="4" fillId="4" borderId="7" xfId="0" applyNumberFormat="1" applyFont="1" applyFill="1" applyBorder="1" applyAlignment="1">
      <alignment horizontal="center" vertical="center" wrapText="1"/>
    </xf>
    <xf numFmtId="164" fontId="9" fillId="4" borderId="7" xfId="0" applyNumberFormat="1" applyFont="1" applyFill="1" applyBorder="1" applyAlignment="1">
      <alignment horizontal="center" vertical="center" wrapText="1"/>
    </xf>
    <xf numFmtId="0" fontId="17" fillId="4" borderId="7" xfId="0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vertical="center"/>
    </xf>
    <xf numFmtId="164" fontId="1" fillId="0" borderId="7" xfId="0" applyNumberFormat="1" applyFont="1" applyBorder="1" applyAlignment="1">
      <alignment horizontal="center" vertical="center"/>
    </xf>
    <xf numFmtId="0" fontId="4" fillId="5" borderId="7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horizontal="center" vertical="center" wrapText="1"/>
    </xf>
    <xf numFmtId="164" fontId="4" fillId="5" borderId="7" xfId="0" applyNumberFormat="1" applyFont="1" applyFill="1" applyBorder="1" applyAlignment="1">
      <alignment horizontal="center" vertical="center"/>
    </xf>
    <xf numFmtId="2" fontId="4" fillId="5" borderId="7" xfId="0" applyNumberFormat="1" applyFont="1" applyFill="1" applyBorder="1" applyAlignment="1">
      <alignment horizontal="center" vertical="center" wrapText="1"/>
    </xf>
    <xf numFmtId="167" fontId="4" fillId="0" borderId="7" xfId="0" applyNumberFormat="1" applyFont="1" applyBorder="1" applyAlignment="1">
      <alignment horizontal="center" vertical="center" wrapText="1"/>
    </xf>
    <xf numFmtId="168" fontId="4" fillId="5" borderId="10" xfId="0" applyNumberFormat="1" applyFont="1" applyFill="1" applyBorder="1" applyAlignment="1">
      <alignment horizontal="center" vertical="center"/>
    </xf>
    <xf numFmtId="4" fontId="4" fillId="5" borderId="10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 wrapText="1"/>
    </xf>
    <xf numFmtId="169" fontId="4" fillId="0" borderId="6" xfId="0" applyNumberFormat="1" applyFont="1" applyBorder="1" applyAlignment="1">
      <alignment horizontal="center" vertical="center"/>
    </xf>
    <xf numFmtId="2" fontId="17" fillId="0" borderId="14" xfId="0" applyNumberFormat="1" applyFont="1" applyBorder="1" applyAlignment="1">
      <alignment horizontal="center" vertical="center" wrapText="1"/>
    </xf>
    <xf numFmtId="4" fontId="4" fillId="0" borderId="7" xfId="0" applyNumberFormat="1" applyFont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4" fontId="4" fillId="0" borderId="7" xfId="0" applyNumberFormat="1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2" fillId="6" borderId="11" xfId="0" applyFont="1" applyFill="1" applyBorder="1" applyAlignment="1">
      <alignment vertical="center" wrapText="1"/>
    </xf>
    <xf numFmtId="0" fontId="3" fillId="6" borderId="11" xfId="0" applyFont="1" applyFill="1" applyBorder="1" applyAlignment="1">
      <alignment vertical="center" wrapText="1"/>
    </xf>
    <xf numFmtId="0" fontId="1" fillId="6" borderId="11" xfId="0" applyFont="1" applyFill="1" applyBorder="1" applyAlignment="1">
      <alignment vertical="center" wrapText="1"/>
    </xf>
    <xf numFmtId="170" fontId="1" fillId="6" borderId="11" xfId="0" applyNumberFormat="1" applyFont="1" applyFill="1" applyBorder="1" applyAlignment="1">
      <alignment vertical="center" wrapText="1"/>
    </xf>
    <xf numFmtId="0" fontId="7" fillId="2" borderId="12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8" fillId="2" borderId="8" xfId="0" applyFont="1" applyFill="1" applyBorder="1" applyAlignment="1">
      <alignment vertical="center"/>
    </xf>
  </cellXfs>
  <cellStyles count="1">
    <cellStyle name="Normal" xfId="0" builtinId="0"/>
  </cellStyles>
  <dxfs count="8"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643BF-2D66-4378-9FBC-1112384ACBA3}">
  <sheetPr>
    <outlinePr summaryBelow="0" summaryRight="0"/>
  </sheetPr>
  <dimension ref="A1:AS16"/>
  <sheetViews>
    <sheetView zoomScaleNormal="100" workbookViewId="0">
      <pane ySplit="4" topLeftCell="A9" activePane="bottomLeft" state="frozen"/>
      <selection pane="bottomLeft" activeCell="D4" sqref="D4"/>
    </sheetView>
  </sheetViews>
  <sheetFormatPr defaultColWidth="14.42578125" defaultRowHeight="15" customHeight="1"/>
  <cols>
    <col min="1" max="1" width="4.28515625" style="13" bestFit="1" customWidth="1"/>
    <col min="2" max="2" width="15.7109375" style="13" bestFit="1" customWidth="1"/>
    <col min="3" max="3" width="13.7109375" style="13" bestFit="1" customWidth="1"/>
    <col min="4" max="4" width="47.140625" style="13" bestFit="1" customWidth="1"/>
    <col min="5" max="5" width="11.85546875" style="13" bestFit="1" customWidth="1"/>
    <col min="6" max="6" width="15" style="13" bestFit="1" customWidth="1"/>
    <col min="7" max="7" width="18.7109375" style="13" customWidth="1"/>
    <col min="8" max="8" width="21.140625" style="13" customWidth="1"/>
    <col min="9" max="9" width="13.7109375" style="13" customWidth="1"/>
    <col min="10" max="10" width="15" style="13" customWidth="1"/>
    <col min="11" max="11" width="15.140625" style="13" customWidth="1"/>
    <col min="12" max="12" width="25.5703125" style="13" customWidth="1"/>
    <col min="13" max="13" width="10" style="13" customWidth="1"/>
    <col min="14" max="14" width="15" style="13" customWidth="1"/>
    <col min="15" max="15" width="8" style="13" customWidth="1"/>
    <col min="16" max="16" width="13.85546875" style="13" customWidth="1"/>
    <col min="17" max="17" width="14.42578125" style="13" customWidth="1"/>
    <col min="18" max="18" width="39.5703125" style="13" customWidth="1"/>
    <col min="19" max="19" width="51" style="13" customWidth="1"/>
    <col min="20" max="20" width="42.5703125" style="13" customWidth="1"/>
    <col min="21" max="21" width="18" style="13" bestFit="1" customWidth="1"/>
    <col min="22" max="23" width="17.85546875" style="13" bestFit="1" customWidth="1"/>
    <col min="24" max="24" width="17.5703125" style="13" bestFit="1" customWidth="1"/>
    <col min="25" max="25" width="18" style="13" bestFit="1" customWidth="1"/>
    <col min="26" max="27" width="17.85546875" style="13" bestFit="1" customWidth="1"/>
    <col min="28" max="28" width="17.5703125" style="13" bestFit="1" customWidth="1"/>
    <col min="29" max="29" width="18" style="13" bestFit="1" customWidth="1"/>
    <col min="30" max="30" width="17.85546875" style="13" bestFit="1" customWidth="1"/>
    <col min="31" max="31" width="16.7109375" style="13" bestFit="1" customWidth="1"/>
    <col min="32" max="32" width="16.5703125" style="13" bestFit="1" customWidth="1"/>
    <col min="33" max="33" width="17.5703125" style="13" bestFit="1" customWidth="1"/>
    <col min="34" max="35" width="17" style="13" bestFit="1" customWidth="1"/>
    <col min="36" max="36" width="16.7109375" style="13" bestFit="1" customWidth="1"/>
    <col min="37" max="37" width="17" style="13" bestFit="1" customWidth="1"/>
    <col min="38" max="38" width="16.7109375" style="13" bestFit="1" customWidth="1"/>
    <col min="39" max="39" width="17.5703125" style="13" bestFit="1" customWidth="1"/>
    <col min="40" max="40" width="17" style="13" bestFit="1" customWidth="1"/>
    <col min="41" max="16384" width="14.42578125" style="13"/>
  </cols>
  <sheetData>
    <row r="1" spans="1:45" ht="15" customHeight="1">
      <c r="A1" s="128" t="s">
        <v>436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1"/>
    </row>
    <row r="2" spans="1:45">
      <c r="A2" s="42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4"/>
    </row>
    <row r="3" spans="1:45" ht="45">
      <c r="A3" s="1" t="s">
        <v>0</v>
      </c>
      <c r="B3" s="2" t="s">
        <v>1</v>
      </c>
      <c r="C3" s="2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3" t="s">
        <v>13</v>
      </c>
      <c r="O3" s="3" t="s">
        <v>14</v>
      </c>
      <c r="P3" s="3" t="s">
        <v>10</v>
      </c>
      <c r="Q3" s="4" t="s">
        <v>15</v>
      </c>
      <c r="R3" s="3" t="s">
        <v>16</v>
      </c>
      <c r="S3" s="4" t="s">
        <v>17</v>
      </c>
      <c r="T3" s="4" t="s">
        <v>18</v>
      </c>
      <c r="U3" s="122" t="s">
        <v>19</v>
      </c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5"/>
      <c r="AS3" s="5"/>
    </row>
    <row r="4" spans="1:45">
      <c r="A4" s="124" t="s">
        <v>20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5"/>
      <c r="AS4" s="5"/>
    </row>
    <row r="5" spans="1:45" ht="45" customHeight="1">
      <c r="A5" s="6">
        <v>1</v>
      </c>
      <c r="B5" s="6" t="s">
        <v>432</v>
      </c>
      <c r="C5" s="7" t="s">
        <v>21</v>
      </c>
      <c r="D5" s="8" t="s">
        <v>22</v>
      </c>
      <c r="E5" s="9">
        <v>19.399999999999999</v>
      </c>
      <c r="F5" s="7" t="s">
        <v>23</v>
      </c>
      <c r="G5" s="7" t="s">
        <v>24</v>
      </c>
      <c r="H5" s="7" t="s">
        <v>25</v>
      </c>
      <c r="I5" s="10">
        <v>44202</v>
      </c>
      <c r="J5" s="11">
        <v>44977</v>
      </c>
      <c r="K5" s="12" t="s">
        <v>26</v>
      </c>
      <c r="L5" s="12">
        <v>25241358.190000001</v>
      </c>
      <c r="M5" s="6">
        <v>100</v>
      </c>
      <c r="N5" s="6" t="s">
        <v>27</v>
      </c>
      <c r="O5" s="6">
        <v>701</v>
      </c>
      <c r="P5" s="6" t="s">
        <v>28</v>
      </c>
      <c r="Q5" s="7" t="s">
        <v>29</v>
      </c>
      <c r="R5" s="7" t="s">
        <v>30</v>
      </c>
      <c r="S5" s="7"/>
      <c r="T5" s="33" t="s">
        <v>31</v>
      </c>
      <c r="U5" s="45" t="s">
        <v>32</v>
      </c>
      <c r="V5" s="45" t="s">
        <v>33</v>
      </c>
      <c r="W5" s="45"/>
      <c r="X5" s="45"/>
      <c r="Y5" s="45"/>
      <c r="Z5" s="45"/>
      <c r="AA5" s="45"/>
      <c r="AB5" s="45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14"/>
      <c r="AS5" s="14"/>
    </row>
    <row r="6" spans="1:45" ht="45" customHeight="1">
      <c r="A6" s="6">
        <v>2</v>
      </c>
      <c r="B6" s="6" t="s">
        <v>432</v>
      </c>
      <c r="C6" s="6" t="s">
        <v>34</v>
      </c>
      <c r="D6" s="8" t="s">
        <v>35</v>
      </c>
      <c r="E6" s="9">
        <v>1.44</v>
      </c>
      <c r="F6" s="7" t="s">
        <v>36</v>
      </c>
      <c r="G6" s="7" t="s">
        <v>24</v>
      </c>
      <c r="H6" s="7" t="s">
        <v>25</v>
      </c>
      <c r="I6" s="10">
        <v>44476</v>
      </c>
      <c r="J6" s="11">
        <v>45001</v>
      </c>
      <c r="K6" s="12" t="s">
        <v>26</v>
      </c>
      <c r="L6" s="12">
        <v>10309408.66</v>
      </c>
      <c r="M6" s="6">
        <v>100</v>
      </c>
      <c r="N6" s="6" t="s">
        <v>37</v>
      </c>
      <c r="O6" s="6">
        <v>1343</v>
      </c>
      <c r="P6" s="6" t="s">
        <v>28</v>
      </c>
      <c r="Q6" s="15" t="s">
        <v>38</v>
      </c>
      <c r="R6" s="7" t="s">
        <v>39</v>
      </c>
      <c r="S6" s="7"/>
      <c r="T6" s="33" t="s">
        <v>40</v>
      </c>
      <c r="U6" s="45" t="s">
        <v>41</v>
      </c>
      <c r="V6" s="45"/>
      <c r="W6" s="45"/>
      <c r="X6" s="45"/>
      <c r="Y6" s="45"/>
      <c r="Z6" s="45"/>
      <c r="AA6" s="45"/>
      <c r="AB6" s="45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14"/>
      <c r="AS6" s="14"/>
    </row>
    <row r="7" spans="1:45" ht="45" customHeight="1">
      <c r="A7" s="6">
        <v>3</v>
      </c>
      <c r="B7" s="6" t="s">
        <v>432</v>
      </c>
      <c r="C7" s="6" t="s">
        <v>42</v>
      </c>
      <c r="D7" s="8" t="s">
        <v>43</v>
      </c>
      <c r="E7" s="9">
        <v>9.19</v>
      </c>
      <c r="F7" s="7" t="s">
        <v>44</v>
      </c>
      <c r="G7" s="7" t="s">
        <v>45</v>
      </c>
      <c r="H7" s="7" t="s">
        <v>46</v>
      </c>
      <c r="I7" s="10">
        <v>44739</v>
      </c>
      <c r="J7" s="11">
        <v>44974</v>
      </c>
      <c r="K7" s="12" t="s">
        <v>26</v>
      </c>
      <c r="L7" s="12">
        <v>4488234.5</v>
      </c>
      <c r="M7" s="6">
        <v>100</v>
      </c>
      <c r="N7" s="6" t="s">
        <v>47</v>
      </c>
      <c r="O7" s="6">
        <v>1459</v>
      </c>
      <c r="P7" s="6" t="s">
        <v>28</v>
      </c>
      <c r="Q7" s="6" t="s">
        <v>48</v>
      </c>
      <c r="R7" s="6" t="s">
        <v>49</v>
      </c>
      <c r="S7" s="7"/>
      <c r="T7" s="33" t="s">
        <v>50</v>
      </c>
      <c r="U7" s="45" t="s">
        <v>51</v>
      </c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14"/>
      <c r="AS7" s="14"/>
    </row>
    <row r="8" spans="1:45" ht="45" customHeight="1">
      <c r="A8" s="6">
        <v>4</v>
      </c>
      <c r="B8" s="6" t="s">
        <v>432</v>
      </c>
      <c r="C8" s="6" t="s">
        <v>52</v>
      </c>
      <c r="D8" s="8" t="s">
        <v>53</v>
      </c>
      <c r="E8" s="9">
        <v>31.89</v>
      </c>
      <c r="F8" s="7" t="s">
        <v>54</v>
      </c>
      <c r="G8" s="7" t="s">
        <v>24</v>
      </c>
      <c r="H8" s="7" t="s">
        <v>25</v>
      </c>
      <c r="I8" s="11">
        <v>44117</v>
      </c>
      <c r="J8" s="11">
        <v>45005</v>
      </c>
      <c r="K8" s="12" t="s">
        <v>26</v>
      </c>
      <c r="L8" s="12">
        <v>30968183.440000001</v>
      </c>
      <c r="M8" s="6">
        <v>100</v>
      </c>
      <c r="N8" s="6" t="s">
        <v>55</v>
      </c>
      <c r="O8" s="6">
        <v>532</v>
      </c>
      <c r="P8" s="6" t="s">
        <v>28</v>
      </c>
      <c r="Q8" s="6" t="s">
        <v>29</v>
      </c>
      <c r="R8" s="6" t="s">
        <v>56</v>
      </c>
      <c r="S8" s="7"/>
      <c r="T8" s="33" t="s">
        <v>57</v>
      </c>
      <c r="U8" s="45" t="s">
        <v>58</v>
      </c>
      <c r="V8" s="45" t="s">
        <v>59</v>
      </c>
      <c r="W8" s="45" t="s">
        <v>60</v>
      </c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14"/>
      <c r="AS8" s="14"/>
    </row>
    <row r="9" spans="1:45" ht="45" customHeight="1">
      <c r="A9" s="6">
        <v>5</v>
      </c>
      <c r="B9" s="6" t="s">
        <v>432</v>
      </c>
      <c r="C9" s="6" t="s">
        <v>61</v>
      </c>
      <c r="D9" s="8" t="s">
        <v>62</v>
      </c>
      <c r="E9" s="9">
        <v>12.64</v>
      </c>
      <c r="F9" s="16" t="s">
        <v>63</v>
      </c>
      <c r="G9" s="7" t="s">
        <v>24</v>
      </c>
      <c r="H9" s="7" t="s">
        <v>64</v>
      </c>
      <c r="I9" s="7" t="s">
        <v>65</v>
      </c>
      <c r="J9" s="11">
        <v>45046</v>
      </c>
      <c r="K9" s="12" t="s">
        <v>26</v>
      </c>
      <c r="L9" s="12">
        <v>13747621.09</v>
      </c>
      <c r="M9" s="6">
        <v>100</v>
      </c>
      <c r="N9" s="6" t="s">
        <v>66</v>
      </c>
      <c r="O9" s="6">
        <v>564</v>
      </c>
      <c r="P9" s="6" t="s">
        <v>28</v>
      </c>
      <c r="Q9" s="6" t="s">
        <v>29</v>
      </c>
      <c r="R9" s="6" t="s">
        <v>67</v>
      </c>
      <c r="S9" s="7"/>
      <c r="T9" s="33" t="s">
        <v>68</v>
      </c>
      <c r="U9" s="45" t="s">
        <v>69</v>
      </c>
      <c r="V9" s="45"/>
      <c r="W9" s="45"/>
      <c r="X9" s="45"/>
      <c r="Y9" s="45"/>
      <c r="Z9" s="45"/>
      <c r="AA9" s="45"/>
      <c r="AB9" s="45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14"/>
      <c r="AS9" s="14"/>
    </row>
    <row r="10" spans="1:45" ht="45" customHeight="1">
      <c r="A10" s="6">
        <v>6</v>
      </c>
      <c r="B10" s="6" t="s">
        <v>432</v>
      </c>
      <c r="C10" s="6" t="s">
        <v>70</v>
      </c>
      <c r="D10" s="8" t="s">
        <v>71</v>
      </c>
      <c r="E10" s="9">
        <v>7.9</v>
      </c>
      <c r="F10" s="7" t="s">
        <v>72</v>
      </c>
      <c r="G10" s="7" t="s">
        <v>73</v>
      </c>
      <c r="H10" s="7" t="s">
        <v>74</v>
      </c>
      <c r="I10" s="10">
        <v>44662</v>
      </c>
      <c r="J10" s="11">
        <v>45172</v>
      </c>
      <c r="K10" s="12" t="s">
        <v>26</v>
      </c>
      <c r="L10" s="12">
        <v>5172732.1399999997</v>
      </c>
      <c r="M10" s="6">
        <v>100</v>
      </c>
      <c r="N10" s="6" t="s">
        <v>75</v>
      </c>
      <c r="O10" s="6">
        <v>1906</v>
      </c>
      <c r="P10" s="6" t="s">
        <v>28</v>
      </c>
      <c r="Q10" s="6" t="s">
        <v>48</v>
      </c>
      <c r="R10" s="6" t="s">
        <v>76</v>
      </c>
      <c r="S10" s="17"/>
      <c r="T10" s="33" t="s">
        <v>77</v>
      </c>
      <c r="U10" s="45" t="s">
        <v>78</v>
      </c>
      <c r="V10" s="45"/>
      <c r="W10" s="45"/>
      <c r="X10" s="45"/>
      <c r="Y10" s="45"/>
      <c r="Z10" s="45"/>
      <c r="AA10" s="45"/>
      <c r="AB10" s="45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14"/>
      <c r="AS10" s="14"/>
    </row>
    <row r="11" spans="1:45" ht="45" customHeight="1">
      <c r="A11" s="6">
        <v>7</v>
      </c>
      <c r="B11" s="6" t="s">
        <v>432</v>
      </c>
      <c r="C11" s="6" t="s">
        <v>79</v>
      </c>
      <c r="D11" s="8" t="s">
        <v>80</v>
      </c>
      <c r="E11" s="9">
        <v>8.9499999999999993</v>
      </c>
      <c r="F11" s="7" t="s">
        <v>81</v>
      </c>
      <c r="G11" s="7" t="s">
        <v>82</v>
      </c>
      <c r="H11" s="7" t="s">
        <v>83</v>
      </c>
      <c r="I11" s="10">
        <v>44756</v>
      </c>
      <c r="J11" s="11">
        <v>45103</v>
      </c>
      <c r="K11" s="12" t="s">
        <v>26</v>
      </c>
      <c r="L11" s="12">
        <v>6909282.04</v>
      </c>
      <c r="M11" s="6">
        <v>100</v>
      </c>
      <c r="N11" s="6" t="s">
        <v>84</v>
      </c>
      <c r="O11" s="6">
        <v>1420</v>
      </c>
      <c r="P11" s="6" t="s">
        <v>28</v>
      </c>
      <c r="Q11" s="6" t="s">
        <v>48</v>
      </c>
      <c r="R11" s="6" t="s">
        <v>85</v>
      </c>
      <c r="S11" s="17"/>
      <c r="T11" s="33" t="s">
        <v>86</v>
      </c>
      <c r="U11" s="45" t="s">
        <v>87</v>
      </c>
      <c r="V11" s="45"/>
      <c r="W11" s="45"/>
      <c r="X11" s="45"/>
      <c r="Y11" s="45"/>
      <c r="Z11" s="45"/>
      <c r="AA11" s="45"/>
      <c r="AB11" s="45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14"/>
      <c r="AS11" s="14"/>
    </row>
    <row r="12" spans="1:45" ht="45" customHeight="1">
      <c r="A12" s="6">
        <v>8</v>
      </c>
      <c r="B12" s="6" t="s">
        <v>432</v>
      </c>
      <c r="C12" s="6" t="s">
        <v>88</v>
      </c>
      <c r="D12" s="8" t="s">
        <v>89</v>
      </c>
      <c r="E12" s="9">
        <v>23.42</v>
      </c>
      <c r="F12" s="7" t="s">
        <v>90</v>
      </c>
      <c r="G12" s="7" t="s">
        <v>91</v>
      </c>
      <c r="H12" s="7" t="s">
        <v>92</v>
      </c>
      <c r="I12" s="10">
        <v>44803</v>
      </c>
      <c r="J12" s="11">
        <v>45169</v>
      </c>
      <c r="K12" s="12" t="s">
        <v>26</v>
      </c>
      <c r="L12" s="12">
        <v>14968145.01</v>
      </c>
      <c r="M12" s="6">
        <v>100</v>
      </c>
      <c r="N12" s="6" t="s">
        <v>93</v>
      </c>
      <c r="O12" s="6">
        <v>1409</v>
      </c>
      <c r="P12" s="6" t="s">
        <v>28</v>
      </c>
      <c r="Q12" s="6" t="s">
        <v>48</v>
      </c>
      <c r="R12" s="6" t="s">
        <v>94</v>
      </c>
      <c r="S12" s="17"/>
      <c r="T12" s="33" t="s">
        <v>86</v>
      </c>
      <c r="U12" s="45" t="s">
        <v>95</v>
      </c>
      <c r="V12" s="45"/>
      <c r="W12" s="45"/>
      <c r="X12" s="45"/>
      <c r="Y12" s="45"/>
      <c r="Z12" s="45"/>
      <c r="AA12" s="45"/>
      <c r="AB12" s="45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14"/>
      <c r="AS12" s="14"/>
    </row>
    <row r="13" spans="1:45" ht="45" customHeight="1">
      <c r="A13" s="6">
        <v>9</v>
      </c>
      <c r="B13" s="6" t="s">
        <v>432</v>
      </c>
      <c r="C13" s="7" t="s">
        <v>96</v>
      </c>
      <c r="D13" s="8" t="s">
        <v>97</v>
      </c>
      <c r="E13" s="9">
        <v>29.13</v>
      </c>
      <c r="F13" s="18" t="s">
        <v>98</v>
      </c>
      <c r="G13" s="19" t="s">
        <v>99</v>
      </c>
      <c r="H13" s="7" t="s">
        <v>100</v>
      </c>
      <c r="I13" s="10">
        <v>44438</v>
      </c>
      <c r="J13" s="11">
        <v>45038</v>
      </c>
      <c r="K13" s="12" t="s">
        <v>26</v>
      </c>
      <c r="L13" s="12">
        <v>28491100.920000002</v>
      </c>
      <c r="M13" s="6">
        <v>100</v>
      </c>
      <c r="N13" s="6" t="s">
        <v>101</v>
      </c>
      <c r="O13" s="6">
        <v>853</v>
      </c>
      <c r="P13" s="6" t="s">
        <v>28</v>
      </c>
      <c r="Q13" s="6" t="s">
        <v>29</v>
      </c>
      <c r="R13" s="6" t="s">
        <v>85</v>
      </c>
      <c r="S13" s="17"/>
      <c r="T13" s="33" t="s">
        <v>102</v>
      </c>
      <c r="U13" s="45" t="s">
        <v>103</v>
      </c>
      <c r="V13" s="45" t="s">
        <v>104</v>
      </c>
      <c r="W13" s="45"/>
      <c r="X13" s="45"/>
      <c r="Y13" s="45"/>
      <c r="Z13" s="45"/>
      <c r="AA13" s="45"/>
      <c r="AB13" s="45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14"/>
      <c r="AS13" s="14"/>
    </row>
    <row r="14" spans="1:45" ht="45" customHeight="1">
      <c r="A14" s="6">
        <v>10</v>
      </c>
      <c r="B14" s="6" t="s">
        <v>433</v>
      </c>
      <c r="C14" s="6" t="s">
        <v>105</v>
      </c>
      <c r="D14" s="8" t="s">
        <v>106</v>
      </c>
      <c r="E14" s="9">
        <v>20.100000000000001</v>
      </c>
      <c r="F14" s="18" t="s">
        <v>107</v>
      </c>
      <c r="G14" s="7" t="s">
        <v>82</v>
      </c>
      <c r="H14" s="7" t="s">
        <v>108</v>
      </c>
      <c r="I14" s="11">
        <v>43696</v>
      </c>
      <c r="J14" s="11">
        <v>45127</v>
      </c>
      <c r="K14" s="12" t="s">
        <v>26</v>
      </c>
      <c r="L14" s="12">
        <v>79590696</v>
      </c>
      <c r="M14" s="6">
        <v>100</v>
      </c>
      <c r="N14" s="6" t="s">
        <v>109</v>
      </c>
      <c r="O14" s="6">
        <v>316</v>
      </c>
      <c r="P14" s="6" t="s">
        <v>28</v>
      </c>
      <c r="Q14" s="6" t="s">
        <v>38</v>
      </c>
      <c r="R14" s="6" t="s">
        <v>110</v>
      </c>
      <c r="S14" s="17"/>
      <c r="T14" s="33" t="s">
        <v>111</v>
      </c>
      <c r="U14" s="45" t="s">
        <v>112</v>
      </c>
      <c r="V14" s="45" t="s">
        <v>113</v>
      </c>
      <c r="W14" s="45" t="s">
        <v>114</v>
      </c>
      <c r="X14" s="45" t="s">
        <v>115</v>
      </c>
      <c r="Y14" s="45" t="s">
        <v>116</v>
      </c>
      <c r="Z14" s="45" t="s">
        <v>117</v>
      </c>
      <c r="AA14" s="45" t="s">
        <v>118</v>
      </c>
      <c r="AB14" s="45" t="s">
        <v>119</v>
      </c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14"/>
      <c r="AS14" s="14"/>
    </row>
    <row r="15" spans="1:45" ht="45" customHeight="1">
      <c r="A15" s="6">
        <v>11</v>
      </c>
      <c r="B15" s="6" t="s">
        <v>434</v>
      </c>
      <c r="C15" s="7" t="s">
        <v>120</v>
      </c>
      <c r="D15" s="8" t="s">
        <v>121</v>
      </c>
      <c r="E15" s="9">
        <v>15</v>
      </c>
      <c r="F15" s="18" t="s">
        <v>122</v>
      </c>
      <c r="G15" s="7" t="s">
        <v>24</v>
      </c>
      <c r="H15" s="7" t="s">
        <v>25</v>
      </c>
      <c r="I15" s="10">
        <v>43896</v>
      </c>
      <c r="J15" s="11">
        <v>45036</v>
      </c>
      <c r="K15" s="12" t="s">
        <v>26</v>
      </c>
      <c r="L15" s="12">
        <v>15356889.92</v>
      </c>
      <c r="M15" s="6">
        <v>100</v>
      </c>
      <c r="N15" s="6" t="s">
        <v>123</v>
      </c>
      <c r="O15" s="6">
        <v>639</v>
      </c>
      <c r="P15" s="6" t="s">
        <v>28</v>
      </c>
      <c r="Q15" s="6" t="s">
        <v>38</v>
      </c>
      <c r="R15" s="6" t="s">
        <v>124</v>
      </c>
      <c r="S15" s="17"/>
      <c r="T15" s="33" t="s">
        <v>125</v>
      </c>
      <c r="U15" s="45" t="s">
        <v>126</v>
      </c>
      <c r="V15" s="45" t="s">
        <v>127</v>
      </c>
      <c r="W15" s="45"/>
      <c r="X15" s="45"/>
      <c r="Y15" s="45"/>
      <c r="Z15" s="45"/>
      <c r="AA15" s="45"/>
      <c r="AB15" s="45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14"/>
      <c r="AS15" s="14"/>
    </row>
    <row r="16" spans="1:45" ht="19.5" customHeight="1">
      <c r="A16" s="129" t="s">
        <v>128</v>
      </c>
      <c r="B16" s="36"/>
      <c r="C16" s="36"/>
      <c r="D16" s="37"/>
      <c r="E16" s="20">
        <f>SUM(E5:E15)</f>
        <v>179.06</v>
      </c>
      <c r="F16" s="3"/>
      <c r="G16" s="3"/>
      <c r="H16" s="3"/>
      <c r="I16" s="3"/>
      <c r="J16" s="3"/>
      <c r="K16" s="21"/>
      <c r="L16" s="21">
        <f>SUM(L5:L15)</f>
        <v>235243651.91</v>
      </c>
      <c r="M16" s="126" t="s">
        <v>129</v>
      </c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4"/>
      <c r="AS16" s="1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9AF7A-7B0E-4473-A2F7-443837F3762F}">
  <dimension ref="A1:AS24"/>
  <sheetViews>
    <sheetView workbookViewId="0">
      <selection sqref="A1:XFD1048576"/>
    </sheetView>
  </sheetViews>
  <sheetFormatPr defaultColWidth="14.42578125" defaultRowHeight="15"/>
  <cols>
    <col min="1" max="1" width="4.28515625" style="50" bestFit="1" customWidth="1"/>
    <col min="2" max="2" width="15.7109375" style="50" bestFit="1" customWidth="1"/>
    <col min="3" max="3" width="13.7109375" style="50" bestFit="1" customWidth="1"/>
    <col min="4" max="4" width="47.140625" style="50" bestFit="1" customWidth="1"/>
    <col min="5" max="5" width="11.85546875" style="50" bestFit="1" customWidth="1"/>
    <col min="6" max="6" width="15" style="50" bestFit="1" customWidth="1"/>
    <col min="7" max="7" width="18.7109375" style="50" customWidth="1"/>
    <col min="8" max="8" width="21.140625" style="50" customWidth="1"/>
    <col min="9" max="9" width="13.7109375" style="50" customWidth="1"/>
    <col min="10" max="10" width="15" style="50" customWidth="1"/>
    <col min="11" max="11" width="15.140625" style="50" customWidth="1"/>
    <col min="12" max="12" width="25.5703125" style="50" customWidth="1"/>
    <col min="13" max="13" width="10" style="50" customWidth="1"/>
    <col min="14" max="14" width="15" style="50" customWidth="1"/>
    <col min="15" max="15" width="8" style="50" customWidth="1"/>
    <col min="16" max="16" width="13.85546875" style="50" customWidth="1"/>
    <col min="17" max="17" width="14.42578125" style="50"/>
    <col min="18" max="18" width="39.5703125" style="50" customWidth="1"/>
    <col min="19" max="19" width="51" style="50" customWidth="1"/>
    <col min="20" max="20" width="42.5703125" style="50" customWidth="1"/>
    <col min="21" max="21" width="18" style="50" bestFit="1" customWidth="1"/>
    <col min="22" max="23" width="17.85546875" style="50" bestFit="1" customWidth="1"/>
    <col min="24" max="24" width="17.5703125" style="50" bestFit="1" customWidth="1"/>
    <col min="25" max="25" width="18" style="50" bestFit="1" customWidth="1"/>
    <col min="26" max="27" width="17.85546875" style="50" bestFit="1" customWidth="1"/>
    <col min="28" max="28" width="17.5703125" style="50" bestFit="1" customWidth="1"/>
    <col min="29" max="29" width="18" style="50" bestFit="1" customWidth="1"/>
    <col min="30" max="30" width="17.85546875" style="50" bestFit="1" customWidth="1"/>
    <col min="31" max="31" width="16.7109375" style="50" bestFit="1" customWidth="1"/>
    <col min="32" max="32" width="16.5703125" style="50" bestFit="1" customWidth="1"/>
    <col min="33" max="33" width="17.5703125" style="50" bestFit="1" customWidth="1"/>
    <col min="34" max="35" width="17" style="50" bestFit="1" customWidth="1"/>
    <col min="36" max="36" width="16.7109375" style="50" bestFit="1" customWidth="1"/>
    <col min="37" max="37" width="17" style="50" bestFit="1" customWidth="1"/>
    <col min="38" max="38" width="16.7109375" style="50" bestFit="1" customWidth="1"/>
    <col min="39" max="39" width="17.5703125" style="50" bestFit="1" customWidth="1"/>
    <col min="40" max="40" width="17" style="50" bestFit="1" customWidth="1"/>
    <col min="41" max="16384" width="14.42578125" style="50"/>
  </cols>
  <sheetData>
    <row r="1" spans="1:45" ht="15" customHeight="1">
      <c r="A1" s="47" t="s">
        <v>436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9"/>
    </row>
    <row r="2" spans="1:45">
      <c r="A2" s="51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3"/>
    </row>
    <row r="3" spans="1:45" ht="45">
      <c r="A3" s="4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3" t="s">
        <v>13</v>
      </c>
      <c r="O3" s="3" t="s">
        <v>14</v>
      </c>
      <c r="P3" s="3" t="s">
        <v>10</v>
      </c>
      <c r="Q3" s="4" t="s">
        <v>15</v>
      </c>
      <c r="R3" s="3" t="s">
        <v>16</v>
      </c>
      <c r="S3" s="4" t="s">
        <v>17</v>
      </c>
      <c r="T3" s="4" t="s">
        <v>18</v>
      </c>
      <c r="U3" s="38" t="s">
        <v>19</v>
      </c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15"/>
      <c r="AS3" s="15"/>
    </row>
    <row r="4" spans="1:45" ht="15" customHeight="1">
      <c r="A4" s="54" t="s">
        <v>130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</row>
    <row r="5" spans="1:45" ht="60">
      <c r="A5" s="7">
        <v>1</v>
      </c>
      <c r="B5" s="7" t="s">
        <v>433</v>
      </c>
      <c r="C5" s="7" t="s">
        <v>131</v>
      </c>
      <c r="D5" s="8" t="s">
        <v>132</v>
      </c>
      <c r="E5" s="18">
        <v>24.29</v>
      </c>
      <c r="F5" s="7" t="s">
        <v>133</v>
      </c>
      <c r="G5" s="7" t="s">
        <v>134</v>
      </c>
      <c r="H5" s="7" t="s">
        <v>100</v>
      </c>
      <c r="I5" s="10">
        <v>43686</v>
      </c>
      <c r="J5" s="10">
        <v>45367</v>
      </c>
      <c r="K5" s="22" t="s">
        <v>26</v>
      </c>
      <c r="L5" s="22">
        <v>66589935.5</v>
      </c>
      <c r="M5" s="7">
        <v>100</v>
      </c>
      <c r="N5" s="7" t="s">
        <v>135</v>
      </c>
      <c r="O5" s="7">
        <v>559</v>
      </c>
      <c r="P5" s="7" t="s">
        <v>28</v>
      </c>
      <c r="Q5" s="7" t="s">
        <v>38</v>
      </c>
      <c r="R5" s="7" t="s">
        <v>136</v>
      </c>
      <c r="S5" s="7" t="s">
        <v>250</v>
      </c>
      <c r="T5" s="33" t="s">
        <v>137</v>
      </c>
      <c r="U5" s="56" t="s">
        <v>257</v>
      </c>
      <c r="V5" s="56" t="s">
        <v>258</v>
      </c>
      <c r="W5" s="56" t="s">
        <v>259</v>
      </c>
      <c r="X5" s="56" t="s">
        <v>260</v>
      </c>
      <c r="Y5" s="56" t="s">
        <v>261</v>
      </c>
      <c r="Z5" s="56" t="s">
        <v>262</v>
      </c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</row>
    <row r="6" spans="1:45" ht="60">
      <c r="A6" s="7">
        <v>2</v>
      </c>
      <c r="B6" s="7" t="s">
        <v>432</v>
      </c>
      <c r="C6" s="7" t="s">
        <v>138</v>
      </c>
      <c r="D6" s="8" t="s">
        <v>139</v>
      </c>
      <c r="E6" s="18">
        <v>15.7</v>
      </c>
      <c r="F6" s="7" t="s">
        <v>140</v>
      </c>
      <c r="G6" s="7" t="s">
        <v>82</v>
      </c>
      <c r="H6" s="7" t="s">
        <v>108</v>
      </c>
      <c r="I6" s="10">
        <v>44033</v>
      </c>
      <c r="J6" s="10">
        <v>45340</v>
      </c>
      <c r="K6" s="22" t="s">
        <v>26</v>
      </c>
      <c r="L6" s="22">
        <v>13271002.029999999</v>
      </c>
      <c r="M6" s="7">
        <v>100</v>
      </c>
      <c r="N6" s="7" t="s">
        <v>141</v>
      </c>
      <c r="O6" s="7">
        <v>747</v>
      </c>
      <c r="P6" s="7" t="s">
        <v>28</v>
      </c>
      <c r="Q6" s="7" t="s">
        <v>29</v>
      </c>
      <c r="R6" s="7" t="s">
        <v>136</v>
      </c>
      <c r="S6" s="7" t="s">
        <v>142</v>
      </c>
      <c r="T6" s="33" t="s">
        <v>143</v>
      </c>
      <c r="U6" s="56" t="s">
        <v>263</v>
      </c>
      <c r="V6" s="56" t="s">
        <v>264</v>
      </c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</row>
    <row r="7" spans="1:45" ht="48.75" customHeight="1">
      <c r="A7" s="7">
        <f t="shared" ref="A7:A23" si="0">A6+1</f>
        <v>3</v>
      </c>
      <c r="B7" s="7" t="s">
        <v>432</v>
      </c>
      <c r="C7" s="7" t="s">
        <v>105</v>
      </c>
      <c r="D7" s="8" t="s">
        <v>144</v>
      </c>
      <c r="E7" s="18">
        <v>8.66</v>
      </c>
      <c r="F7" s="7" t="s">
        <v>145</v>
      </c>
      <c r="G7" s="7" t="s">
        <v>82</v>
      </c>
      <c r="H7" s="7" t="s">
        <v>108</v>
      </c>
      <c r="I7" s="10">
        <v>44825</v>
      </c>
      <c r="J7" s="10">
        <v>45345</v>
      </c>
      <c r="K7" s="22" t="s">
        <v>26</v>
      </c>
      <c r="L7" s="22">
        <v>5893058.8600000003</v>
      </c>
      <c r="M7" s="7">
        <v>100</v>
      </c>
      <c r="N7" s="7" t="s">
        <v>146</v>
      </c>
      <c r="O7" s="7">
        <v>1375</v>
      </c>
      <c r="P7" s="7" t="s">
        <v>28</v>
      </c>
      <c r="Q7" s="7" t="s">
        <v>48</v>
      </c>
      <c r="R7" s="7" t="s">
        <v>94</v>
      </c>
      <c r="S7" s="7" t="s">
        <v>147</v>
      </c>
      <c r="T7" s="33" t="s">
        <v>148</v>
      </c>
      <c r="U7" s="56" t="s">
        <v>265</v>
      </c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</row>
    <row r="8" spans="1:45" ht="48.75" customHeight="1">
      <c r="A8" s="7">
        <f t="shared" si="0"/>
        <v>4</v>
      </c>
      <c r="B8" s="24" t="s">
        <v>435</v>
      </c>
      <c r="C8" s="24" t="s">
        <v>149</v>
      </c>
      <c r="D8" s="8" t="s">
        <v>150</v>
      </c>
      <c r="E8" s="57">
        <v>47.9</v>
      </c>
      <c r="F8" s="24" t="s">
        <v>151</v>
      </c>
      <c r="G8" s="7" t="s">
        <v>82</v>
      </c>
      <c r="H8" s="7" t="s">
        <v>108</v>
      </c>
      <c r="I8" s="26">
        <v>44930</v>
      </c>
      <c r="J8" s="26">
        <v>45330</v>
      </c>
      <c r="K8" s="22" t="s">
        <v>26</v>
      </c>
      <c r="L8" s="58">
        <v>27102187.760000002</v>
      </c>
      <c r="M8" s="7">
        <v>100</v>
      </c>
      <c r="N8" s="24" t="s">
        <v>152</v>
      </c>
      <c r="O8" s="24">
        <v>1771</v>
      </c>
      <c r="P8" s="24" t="s">
        <v>28</v>
      </c>
      <c r="Q8" s="24" t="s">
        <v>38</v>
      </c>
      <c r="R8" s="24" t="s">
        <v>153</v>
      </c>
      <c r="S8" s="29"/>
      <c r="T8" s="34" t="s">
        <v>154</v>
      </c>
      <c r="U8" s="56" t="s">
        <v>266</v>
      </c>
      <c r="V8" s="56" t="s">
        <v>267</v>
      </c>
      <c r="W8" s="56" t="s">
        <v>268</v>
      </c>
      <c r="X8" s="56" t="s">
        <v>269</v>
      </c>
      <c r="Y8" s="56" t="s">
        <v>270</v>
      </c>
      <c r="Z8" s="56" t="s">
        <v>271</v>
      </c>
      <c r="AA8" s="56" t="s">
        <v>272</v>
      </c>
      <c r="AB8" s="56" t="s">
        <v>273</v>
      </c>
      <c r="AC8" s="56" t="s">
        <v>274</v>
      </c>
      <c r="AD8" s="56" t="s">
        <v>275</v>
      </c>
      <c r="AE8" s="56" t="s">
        <v>276</v>
      </c>
      <c r="AF8" s="56" t="s">
        <v>277</v>
      </c>
      <c r="AG8" s="56" t="s">
        <v>278</v>
      </c>
      <c r="AH8" s="56" t="s">
        <v>279</v>
      </c>
      <c r="AI8" s="56" t="s">
        <v>280</v>
      </c>
      <c r="AJ8" s="56" t="s">
        <v>281</v>
      </c>
      <c r="AK8" s="56" t="s">
        <v>282</v>
      </c>
      <c r="AL8" s="56" t="s">
        <v>283</v>
      </c>
      <c r="AM8" s="56" t="s">
        <v>284</v>
      </c>
      <c r="AN8" s="56" t="s">
        <v>285</v>
      </c>
      <c r="AO8" s="56"/>
      <c r="AP8" s="56"/>
      <c r="AQ8" s="56"/>
    </row>
    <row r="9" spans="1:45" ht="48.75" customHeight="1">
      <c r="A9" s="7">
        <f t="shared" si="0"/>
        <v>5</v>
      </c>
      <c r="B9" s="24" t="s">
        <v>155</v>
      </c>
      <c r="C9" s="24" t="s">
        <v>156</v>
      </c>
      <c r="D9" s="8" t="s">
        <v>157</v>
      </c>
      <c r="E9" s="57">
        <v>0.97</v>
      </c>
      <c r="F9" s="24" t="s">
        <v>158</v>
      </c>
      <c r="G9" s="7" t="s">
        <v>73</v>
      </c>
      <c r="H9" s="7" t="s">
        <v>74</v>
      </c>
      <c r="I9" s="26">
        <v>45146</v>
      </c>
      <c r="J9" s="26">
        <v>45508</v>
      </c>
      <c r="K9" s="22" t="s">
        <v>26</v>
      </c>
      <c r="L9" s="58">
        <v>2815978.8</v>
      </c>
      <c r="M9" s="7">
        <v>100</v>
      </c>
      <c r="N9" s="24" t="s">
        <v>159</v>
      </c>
      <c r="O9" s="24">
        <v>2188</v>
      </c>
      <c r="P9" s="24" t="s">
        <v>28</v>
      </c>
      <c r="Q9" s="24" t="s">
        <v>160</v>
      </c>
      <c r="R9" s="24" t="s">
        <v>161</v>
      </c>
      <c r="S9" s="7" t="s">
        <v>162</v>
      </c>
      <c r="T9" s="34" t="s">
        <v>163</v>
      </c>
      <c r="U9" s="56" t="s">
        <v>286</v>
      </c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</row>
    <row r="10" spans="1:45" ht="48.75" customHeight="1">
      <c r="A10" s="7">
        <f t="shared" si="0"/>
        <v>6</v>
      </c>
      <c r="B10" s="7" t="s">
        <v>432</v>
      </c>
      <c r="C10" s="24" t="s">
        <v>164</v>
      </c>
      <c r="D10" s="8" t="s">
        <v>165</v>
      </c>
      <c r="E10" s="57">
        <v>8.4</v>
      </c>
      <c r="F10" s="24" t="s">
        <v>166</v>
      </c>
      <c r="G10" s="7" t="s">
        <v>167</v>
      </c>
      <c r="H10" s="7" t="s">
        <v>168</v>
      </c>
      <c r="I10" s="26">
        <v>44623</v>
      </c>
      <c r="J10" s="26">
        <v>45513</v>
      </c>
      <c r="K10" s="22" t="s">
        <v>26</v>
      </c>
      <c r="L10" s="58">
        <v>31587295.43</v>
      </c>
      <c r="M10" s="7">
        <v>100</v>
      </c>
      <c r="N10" s="24" t="s">
        <v>169</v>
      </c>
      <c r="O10" s="24">
        <v>1860</v>
      </c>
      <c r="P10" s="24" t="s">
        <v>28</v>
      </c>
      <c r="Q10" s="24" t="s">
        <v>29</v>
      </c>
      <c r="R10" s="24" t="s">
        <v>170</v>
      </c>
      <c r="S10" s="24" t="s">
        <v>171</v>
      </c>
      <c r="T10" s="33" t="s">
        <v>125</v>
      </c>
      <c r="U10" s="56" t="s">
        <v>287</v>
      </c>
      <c r="V10" s="56" t="s">
        <v>288</v>
      </c>
      <c r="W10" s="56" t="s">
        <v>289</v>
      </c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</row>
    <row r="11" spans="1:45" ht="48.75" customHeight="1">
      <c r="A11" s="7">
        <f t="shared" si="0"/>
        <v>7</v>
      </c>
      <c r="B11" s="7" t="s">
        <v>432</v>
      </c>
      <c r="C11" s="24" t="s">
        <v>21</v>
      </c>
      <c r="D11" s="8" t="s">
        <v>172</v>
      </c>
      <c r="E11" s="57">
        <v>25.1</v>
      </c>
      <c r="F11" s="24" t="s">
        <v>173</v>
      </c>
      <c r="G11" s="7" t="s">
        <v>24</v>
      </c>
      <c r="H11" s="7" t="s">
        <v>25</v>
      </c>
      <c r="I11" s="26">
        <v>44383</v>
      </c>
      <c r="J11" s="26">
        <v>45471</v>
      </c>
      <c r="K11" s="22" t="s">
        <v>26</v>
      </c>
      <c r="L11" s="58">
        <v>19638413.100000001</v>
      </c>
      <c r="M11" s="7">
        <v>100</v>
      </c>
      <c r="N11" s="24" t="s">
        <v>174</v>
      </c>
      <c r="O11" s="24">
        <v>702</v>
      </c>
      <c r="P11" s="24" t="s">
        <v>28</v>
      </c>
      <c r="Q11" s="24" t="s">
        <v>29</v>
      </c>
      <c r="R11" s="24" t="s">
        <v>175</v>
      </c>
      <c r="S11" s="24"/>
      <c r="T11" s="33" t="s">
        <v>125</v>
      </c>
      <c r="U11" s="56" t="s">
        <v>290</v>
      </c>
      <c r="V11" s="56" t="s">
        <v>291</v>
      </c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</row>
    <row r="12" spans="1:45" ht="48.75" customHeight="1">
      <c r="A12" s="7">
        <f t="shared" si="0"/>
        <v>8</v>
      </c>
      <c r="B12" s="24" t="s">
        <v>434</v>
      </c>
      <c r="C12" s="7" t="s">
        <v>176</v>
      </c>
      <c r="D12" s="8" t="s">
        <v>177</v>
      </c>
      <c r="E12" s="57">
        <v>30.34</v>
      </c>
      <c r="F12" s="24" t="s">
        <v>178</v>
      </c>
      <c r="G12" s="7" t="s">
        <v>167</v>
      </c>
      <c r="H12" s="7" t="s">
        <v>168</v>
      </c>
      <c r="I12" s="26">
        <v>44593</v>
      </c>
      <c r="J12" s="26">
        <v>45524</v>
      </c>
      <c r="K12" s="22" t="s">
        <v>26</v>
      </c>
      <c r="L12" s="58">
        <v>22469055.489999998</v>
      </c>
      <c r="M12" s="7">
        <v>100</v>
      </c>
      <c r="N12" s="24" t="s">
        <v>179</v>
      </c>
      <c r="O12" s="24">
        <v>686</v>
      </c>
      <c r="P12" s="24" t="s">
        <v>28</v>
      </c>
      <c r="Q12" s="24" t="s">
        <v>29</v>
      </c>
      <c r="R12" s="24" t="s">
        <v>180</v>
      </c>
      <c r="S12" s="24" t="s">
        <v>181</v>
      </c>
      <c r="T12" s="33" t="s">
        <v>182</v>
      </c>
      <c r="U12" s="56" t="s">
        <v>292</v>
      </c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</row>
    <row r="13" spans="1:45" ht="48.75" customHeight="1">
      <c r="A13" s="7">
        <f t="shared" si="0"/>
        <v>9</v>
      </c>
      <c r="B13" s="24" t="s">
        <v>155</v>
      </c>
      <c r="C13" s="24" t="s">
        <v>129</v>
      </c>
      <c r="D13" s="8" t="s">
        <v>183</v>
      </c>
      <c r="E13" s="57" t="s">
        <v>129</v>
      </c>
      <c r="F13" s="24" t="s">
        <v>184</v>
      </c>
      <c r="G13" s="7" t="s">
        <v>185</v>
      </c>
      <c r="H13" s="7" t="s">
        <v>92</v>
      </c>
      <c r="I13" s="26">
        <v>44972</v>
      </c>
      <c r="J13" s="26">
        <v>45578</v>
      </c>
      <c r="K13" s="22" t="s">
        <v>26</v>
      </c>
      <c r="L13" s="58">
        <v>3014653.83</v>
      </c>
      <c r="M13" s="7">
        <v>100</v>
      </c>
      <c r="N13" s="24" t="s">
        <v>186</v>
      </c>
      <c r="O13" s="24">
        <v>1621</v>
      </c>
      <c r="P13" s="24" t="s">
        <v>28</v>
      </c>
      <c r="Q13" s="7" t="s">
        <v>129</v>
      </c>
      <c r="R13" s="24" t="s">
        <v>187</v>
      </c>
      <c r="S13" s="24" t="s">
        <v>188</v>
      </c>
      <c r="T13" s="59"/>
      <c r="U13" s="56" t="s">
        <v>255</v>
      </c>
      <c r="V13" s="56" t="s">
        <v>256</v>
      </c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</row>
    <row r="14" spans="1:45" ht="48.75" customHeight="1">
      <c r="A14" s="7">
        <f t="shared" si="0"/>
        <v>10</v>
      </c>
      <c r="B14" s="24" t="s">
        <v>432</v>
      </c>
      <c r="C14" s="7" t="s">
        <v>189</v>
      </c>
      <c r="D14" s="8" t="s">
        <v>190</v>
      </c>
      <c r="E14" s="57">
        <v>16.600000000000001</v>
      </c>
      <c r="F14" s="24" t="s">
        <v>191</v>
      </c>
      <c r="G14" s="7" t="s">
        <v>91</v>
      </c>
      <c r="H14" s="7" t="s">
        <v>92</v>
      </c>
      <c r="I14" s="10">
        <v>45054</v>
      </c>
      <c r="J14" s="26">
        <v>45533</v>
      </c>
      <c r="K14" s="22" t="s">
        <v>26</v>
      </c>
      <c r="L14" s="58">
        <v>14394574.65</v>
      </c>
      <c r="M14" s="7">
        <v>100</v>
      </c>
      <c r="N14" s="24" t="s">
        <v>192</v>
      </c>
      <c r="O14" s="24">
        <v>1390</v>
      </c>
      <c r="P14" s="24" t="s">
        <v>28</v>
      </c>
      <c r="Q14" s="24" t="s">
        <v>48</v>
      </c>
      <c r="R14" s="24" t="s">
        <v>94</v>
      </c>
      <c r="S14" s="24" t="s">
        <v>193</v>
      </c>
      <c r="T14" s="33" t="s">
        <v>125</v>
      </c>
      <c r="U14" s="56" t="s">
        <v>293</v>
      </c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</row>
    <row r="15" spans="1:45" ht="48.75" customHeight="1">
      <c r="A15" s="7">
        <f t="shared" si="0"/>
        <v>11</v>
      </c>
      <c r="B15" s="24" t="s">
        <v>432</v>
      </c>
      <c r="C15" s="7" t="s">
        <v>194</v>
      </c>
      <c r="D15" s="8" t="s">
        <v>195</v>
      </c>
      <c r="E15" s="57">
        <v>5.86</v>
      </c>
      <c r="F15" s="24" t="s">
        <v>196</v>
      </c>
      <c r="G15" s="7" t="s">
        <v>45</v>
      </c>
      <c r="H15" s="7" t="s">
        <v>46</v>
      </c>
      <c r="I15" s="10">
        <v>44882</v>
      </c>
      <c r="J15" s="26">
        <v>45482</v>
      </c>
      <c r="K15" s="22" t="s">
        <v>26</v>
      </c>
      <c r="L15" s="58">
        <v>4965906.38</v>
      </c>
      <c r="M15" s="7">
        <v>100</v>
      </c>
      <c r="N15" s="24" t="s">
        <v>197</v>
      </c>
      <c r="O15" s="24">
        <v>1378</v>
      </c>
      <c r="P15" s="24" t="s">
        <v>28</v>
      </c>
      <c r="Q15" s="24" t="s">
        <v>29</v>
      </c>
      <c r="R15" s="30" t="s">
        <v>198</v>
      </c>
      <c r="S15" s="24" t="s">
        <v>199</v>
      </c>
      <c r="T15" s="34" t="s">
        <v>200</v>
      </c>
      <c r="U15" s="56" t="s">
        <v>294</v>
      </c>
      <c r="V15" s="56" t="s">
        <v>295</v>
      </c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</row>
    <row r="16" spans="1:45" ht="48.75" customHeight="1">
      <c r="A16" s="7">
        <f t="shared" si="0"/>
        <v>12</v>
      </c>
      <c r="B16" s="24" t="s">
        <v>432</v>
      </c>
      <c r="C16" s="24" t="s">
        <v>201</v>
      </c>
      <c r="D16" s="29" t="s">
        <v>202</v>
      </c>
      <c r="E16" s="57">
        <v>16.82</v>
      </c>
      <c r="F16" s="24" t="s">
        <v>203</v>
      </c>
      <c r="G16" s="24" t="s">
        <v>24</v>
      </c>
      <c r="H16" s="7" t="s">
        <v>25</v>
      </c>
      <c r="I16" s="26">
        <v>44627</v>
      </c>
      <c r="J16" s="26">
        <v>45604</v>
      </c>
      <c r="K16" s="22" t="s">
        <v>26</v>
      </c>
      <c r="L16" s="58">
        <v>8303874.0599999996</v>
      </c>
      <c r="M16" s="7">
        <v>100</v>
      </c>
      <c r="N16" s="24" t="s">
        <v>204</v>
      </c>
      <c r="O16" s="24">
        <v>1340</v>
      </c>
      <c r="P16" s="24" t="s">
        <v>28</v>
      </c>
      <c r="Q16" s="24" t="s">
        <v>38</v>
      </c>
      <c r="R16" s="24" t="s">
        <v>124</v>
      </c>
      <c r="S16" s="24" t="s">
        <v>205</v>
      </c>
      <c r="T16" s="33" t="s">
        <v>125</v>
      </c>
      <c r="U16" s="56" t="s">
        <v>296</v>
      </c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</row>
    <row r="17" spans="1:45" ht="48.75" customHeight="1">
      <c r="A17" s="7">
        <f t="shared" si="0"/>
        <v>13</v>
      </c>
      <c r="B17" s="24" t="s">
        <v>155</v>
      </c>
      <c r="C17" s="24" t="s">
        <v>206</v>
      </c>
      <c r="D17" s="29" t="str">
        <f>UPPER("Iluminação do Acesso ao Geossítio Cachoeira ")</f>
        <v xml:space="preserve">ILUMINAÇÃO DO ACESSO AO GEOSSÍTIO CACHOEIRA </v>
      </c>
      <c r="E17" s="57" t="s">
        <v>129</v>
      </c>
      <c r="F17" s="24" t="s">
        <v>207</v>
      </c>
      <c r="G17" s="7" t="s">
        <v>24</v>
      </c>
      <c r="H17" s="7" t="s">
        <v>25</v>
      </c>
      <c r="I17" s="10">
        <v>45224</v>
      </c>
      <c r="J17" s="10">
        <v>45559</v>
      </c>
      <c r="K17" s="22" t="s">
        <v>26</v>
      </c>
      <c r="L17" s="58">
        <v>524070.01</v>
      </c>
      <c r="M17" s="7">
        <v>100</v>
      </c>
      <c r="N17" s="24" t="s">
        <v>208</v>
      </c>
      <c r="O17" s="24">
        <v>2133</v>
      </c>
      <c r="P17" s="24" t="s">
        <v>28</v>
      </c>
      <c r="Q17" s="24" t="s">
        <v>129</v>
      </c>
      <c r="R17" s="24" t="s">
        <v>209</v>
      </c>
      <c r="S17" s="24"/>
      <c r="T17" s="34"/>
      <c r="U17" s="56" t="s">
        <v>297</v>
      </c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</row>
    <row r="18" spans="1:45" ht="48.75" customHeight="1">
      <c r="A18" s="7">
        <f t="shared" si="0"/>
        <v>14</v>
      </c>
      <c r="B18" s="24" t="s">
        <v>434</v>
      </c>
      <c r="C18" s="24" t="s">
        <v>210</v>
      </c>
      <c r="D18" s="29" t="s">
        <v>211</v>
      </c>
      <c r="E18" s="57">
        <v>4.7</v>
      </c>
      <c r="F18" s="24" t="s">
        <v>212</v>
      </c>
      <c r="G18" s="7" t="s">
        <v>213</v>
      </c>
      <c r="H18" s="7" t="s">
        <v>64</v>
      </c>
      <c r="I18" s="10">
        <v>44490</v>
      </c>
      <c r="J18" s="10">
        <v>45588</v>
      </c>
      <c r="K18" s="22" t="s">
        <v>26</v>
      </c>
      <c r="L18" s="58">
        <v>25687719.870000001</v>
      </c>
      <c r="M18" s="7">
        <v>100</v>
      </c>
      <c r="N18" s="24" t="s">
        <v>214</v>
      </c>
      <c r="O18" s="24">
        <v>831</v>
      </c>
      <c r="P18" s="24" t="s">
        <v>28</v>
      </c>
      <c r="Q18" s="24" t="s">
        <v>160</v>
      </c>
      <c r="R18" s="24" t="s">
        <v>215</v>
      </c>
      <c r="S18" s="24" t="s">
        <v>216</v>
      </c>
      <c r="T18" s="34" t="s">
        <v>217</v>
      </c>
      <c r="U18" s="56" t="s">
        <v>298</v>
      </c>
      <c r="V18" s="56" t="s">
        <v>299</v>
      </c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</row>
    <row r="19" spans="1:45" ht="48.75" customHeight="1">
      <c r="A19" s="7">
        <f t="shared" si="0"/>
        <v>15</v>
      </c>
      <c r="B19" s="24" t="s">
        <v>434</v>
      </c>
      <c r="C19" s="24" t="s">
        <v>218</v>
      </c>
      <c r="D19" s="29" t="s">
        <v>219</v>
      </c>
      <c r="E19" s="57">
        <v>2.6</v>
      </c>
      <c r="F19" s="24" t="s">
        <v>220</v>
      </c>
      <c r="G19" s="7" t="s">
        <v>82</v>
      </c>
      <c r="H19" s="7" t="s">
        <v>100</v>
      </c>
      <c r="I19" s="10">
        <v>45194</v>
      </c>
      <c r="J19" s="10">
        <v>45519</v>
      </c>
      <c r="K19" s="22" t="s">
        <v>26</v>
      </c>
      <c r="L19" s="60">
        <v>8203250.1699999999</v>
      </c>
      <c r="M19" s="7">
        <v>100</v>
      </c>
      <c r="N19" s="24" t="s">
        <v>221</v>
      </c>
      <c r="O19" s="24">
        <v>1418</v>
      </c>
      <c r="P19" s="24" t="s">
        <v>28</v>
      </c>
      <c r="Q19" s="24" t="s">
        <v>160</v>
      </c>
      <c r="R19" s="24" t="s">
        <v>222</v>
      </c>
      <c r="S19" s="24" t="s">
        <v>223</v>
      </c>
      <c r="T19" s="34" t="s">
        <v>224</v>
      </c>
      <c r="U19" s="56" t="s">
        <v>300</v>
      </c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</row>
    <row r="20" spans="1:45" ht="48.75" customHeight="1">
      <c r="A20" s="7">
        <f t="shared" si="0"/>
        <v>16</v>
      </c>
      <c r="B20" s="24" t="s">
        <v>432</v>
      </c>
      <c r="C20" s="24" t="s">
        <v>225</v>
      </c>
      <c r="D20" s="29" t="s">
        <v>226</v>
      </c>
      <c r="E20" s="57">
        <v>28.64</v>
      </c>
      <c r="F20" s="24" t="s">
        <v>227</v>
      </c>
      <c r="G20" s="7" t="s">
        <v>228</v>
      </c>
      <c r="H20" s="7" t="s">
        <v>229</v>
      </c>
      <c r="I20" s="10">
        <v>44672</v>
      </c>
      <c r="J20" s="10">
        <v>45556</v>
      </c>
      <c r="K20" s="22" t="s">
        <v>26</v>
      </c>
      <c r="L20" s="60">
        <v>21929959.289999999</v>
      </c>
      <c r="M20" s="7">
        <v>100</v>
      </c>
      <c r="N20" s="24" t="s">
        <v>230</v>
      </c>
      <c r="O20" s="24">
        <v>707</v>
      </c>
      <c r="P20" s="24" t="s">
        <v>28</v>
      </c>
      <c r="Q20" s="24" t="s">
        <v>29</v>
      </c>
      <c r="R20" s="24" t="s">
        <v>124</v>
      </c>
      <c r="S20" s="24" t="s">
        <v>216</v>
      </c>
      <c r="T20" s="34" t="s">
        <v>231</v>
      </c>
      <c r="U20" s="56" t="s">
        <v>301</v>
      </c>
      <c r="V20" s="56" t="s">
        <v>302</v>
      </c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</row>
    <row r="21" spans="1:45" ht="48.75" customHeight="1">
      <c r="A21" s="7">
        <f t="shared" si="0"/>
        <v>17</v>
      </c>
      <c r="B21" s="24" t="s">
        <v>155</v>
      </c>
      <c r="C21" s="24" t="s">
        <v>129</v>
      </c>
      <c r="D21" s="29" t="s">
        <v>232</v>
      </c>
      <c r="E21" s="57">
        <v>1.42</v>
      </c>
      <c r="F21" s="24" t="s">
        <v>36</v>
      </c>
      <c r="G21" s="7" t="s">
        <v>24</v>
      </c>
      <c r="H21" s="7" t="s">
        <v>25</v>
      </c>
      <c r="I21" s="10">
        <v>44916</v>
      </c>
      <c r="J21" s="10">
        <v>45516</v>
      </c>
      <c r="K21" s="22" t="s">
        <v>26</v>
      </c>
      <c r="L21" s="60">
        <v>5521746</v>
      </c>
      <c r="M21" s="7">
        <v>100</v>
      </c>
      <c r="N21" s="24" t="s">
        <v>233</v>
      </c>
      <c r="O21" s="24">
        <v>2169</v>
      </c>
      <c r="P21" s="24" t="s">
        <v>28</v>
      </c>
      <c r="Q21" s="24" t="s">
        <v>129</v>
      </c>
      <c r="R21" s="24" t="s">
        <v>234</v>
      </c>
      <c r="S21" s="32" t="s">
        <v>235</v>
      </c>
      <c r="T21" s="34"/>
      <c r="U21" s="56" t="s">
        <v>253</v>
      </c>
      <c r="V21" s="56" t="s">
        <v>254</v>
      </c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</row>
    <row r="22" spans="1:45" ht="48.75" customHeight="1">
      <c r="A22" s="7">
        <f t="shared" si="0"/>
        <v>18</v>
      </c>
      <c r="B22" s="24" t="s">
        <v>155</v>
      </c>
      <c r="C22" s="24" t="s">
        <v>129</v>
      </c>
      <c r="D22" s="29" t="s">
        <v>236</v>
      </c>
      <c r="E22" s="57">
        <f>220/1000</f>
        <v>0.22</v>
      </c>
      <c r="F22" s="24" t="s">
        <v>237</v>
      </c>
      <c r="G22" s="7" t="s">
        <v>238</v>
      </c>
      <c r="H22" s="7" t="s">
        <v>239</v>
      </c>
      <c r="I22" s="10">
        <v>45190</v>
      </c>
      <c r="J22" s="10">
        <v>45581</v>
      </c>
      <c r="K22" s="22" t="s">
        <v>26</v>
      </c>
      <c r="L22" s="60">
        <v>2769121.2</v>
      </c>
      <c r="M22" s="7">
        <v>100</v>
      </c>
      <c r="N22" s="24" t="s">
        <v>240</v>
      </c>
      <c r="O22" s="24">
        <v>1100</v>
      </c>
      <c r="P22" s="24" t="s">
        <v>28</v>
      </c>
      <c r="Q22" s="24" t="s">
        <v>129</v>
      </c>
      <c r="R22" s="24" t="s">
        <v>241</v>
      </c>
      <c r="S22" s="24" t="s">
        <v>242</v>
      </c>
      <c r="T22" s="34"/>
      <c r="U22" s="56" t="s">
        <v>251</v>
      </c>
      <c r="V22" s="56" t="s">
        <v>252</v>
      </c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</row>
    <row r="23" spans="1:45" ht="60">
      <c r="A23" s="7">
        <f t="shared" si="0"/>
        <v>19</v>
      </c>
      <c r="B23" s="24" t="s">
        <v>433</v>
      </c>
      <c r="C23" s="24" t="s">
        <v>243</v>
      </c>
      <c r="D23" s="29" t="s">
        <v>244</v>
      </c>
      <c r="E23" s="57">
        <v>6.57</v>
      </c>
      <c r="F23" s="24" t="s">
        <v>245</v>
      </c>
      <c r="G23" s="7" t="s">
        <v>82</v>
      </c>
      <c r="H23" s="7" t="s">
        <v>108</v>
      </c>
      <c r="I23" s="10">
        <v>45006</v>
      </c>
      <c r="J23" s="10">
        <v>45546</v>
      </c>
      <c r="K23" s="22" t="s">
        <v>26</v>
      </c>
      <c r="L23" s="60">
        <v>47366423.520000003</v>
      </c>
      <c r="M23" s="7">
        <v>100</v>
      </c>
      <c r="N23" s="24" t="s">
        <v>246</v>
      </c>
      <c r="O23" s="24">
        <v>785</v>
      </c>
      <c r="P23" s="24" t="s">
        <v>28</v>
      </c>
      <c r="Q23" s="24" t="s">
        <v>160</v>
      </c>
      <c r="R23" s="24" t="s">
        <v>170</v>
      </c>
      <c r="S23" s="24" t="s">
        <v>247</v>
      </c>
      <c r="T23" s="34" t="s">
        <v>248</v>
      </c>
      <c r="U23" s="56" t="s">
        <v>303</v>
      </c>
      <c r="V23" s="56" t="s">
        <v>304</v>
      </c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</row>
    <row r="24" spans="1:45" ht="19.5" customHeight="1">
      <c r="A24" s="61" t="s">
        <v>249</v>
      </c>
      <c r="B24" s="62"/>
      <c r="C24" s="62"/>
      <c r="D24" s="63"/>
      <c r="E24" s="64">
        <f>SUM(E5:E23)</f>
        <v>244.78999999999996</v>
      </c>
      <c r="F24" s="3"/>
      <c r="G24" s="3"/>
      <c r="H24" s="3"/>
      <c r="I24" s="3"/>
      <c r="J24" s="3"/>
      <c r="K24" s="65"/>
      <c r="L24" s="65">
        <f>SUM(L5:L23)</f>
        <v>332048225.94999999</v>
      </c>
      <c r="M24" s="38" t="s">
        <v>129</v>
      </c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66"/>
      <c r="AR24" s="67"/>
      <c r="AS24" s="6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D6535-BC51-4D27-B017-B5F85AA3E88E}">
  <dimension ref="A1:AS21"/>
  <sheetViews>
    <sheetView workbookViewId="0">
      <selection sqref="A1:XFD1048576"/>
    </sheetView>
  </sheetViews>
  <sheetFormatPr defaultColWidth="14.42578125" defaultRowHeight="15"/>
  <cols>
    <col min="1" max="1" width="4.28515625" style="50" bestFit="1" customWidth="1"/>
    <col min="2" max="2" width="15.7109375" style="50" bestFit="1" customWidth="1"/>
    <col min="3" max="3" width="13.7109375" style="50" bestFit="1" customWidth="1"/>
    <col min="4" max="4" width="47.140625" style="50" bestFit="1" customWidth="1"/>
    <col min="5" max="5" width="11.85546875" style="50" bestFit="1" customWidth="1"/>
    <col min="6" max="6" width="15" style="50" bestFit="1" customWidth="1"/>
    <col min="7" max="7" width="18.7109375" style="50" customWidth="1"/>
    <col min="8" max="8" width="21.140625" style="50" customWidth="1"/>
    <col min="9" max="9" width="13.7109375" style="50" customWidth="1"/>
    <col min="10" max="10" width="15" style="50" customWidth="1"/>
    <col min="11" max="11" width="15.140625" style="50" customWidth="1"/>
    <col min="12" max="12" width="25.5703125" style="50" customWidth="1"/>
    <col min="13" max="13" width="10" style="50" customWidth="1"/>
    <col min="14" max="14" width="15" style="50" customWidth="1"/>
    <col min="15" max="15" width="8" style="50" customWidth="1"/>
    <col min="16" max="16" width="13.85546875" style="50" customWidth="1"/>
    <col min="17" max="17" width="14.42578125" style="50"/>
    <col min="18" max="18" width="39.5703125" style="50" customWidth="1"/>
    <col min="19" max="19" width="51" style="50" customWidth="1"/>
    <col min="20" max="20" width="42.5703125" style="50" customWidth="1"/>
    <col min="21" max="21" width="18" style="50" bestFit="1" customWidth="1"/>
    <col min="22" max="23" width="17.85546875" style="50" bestFit="1" customWidth="1"/>
    <col min="24" max="24" width="17.5703125" style="50" bestFit="1" customWidth="1"/>
    <col min="25" max="25" width="18" style="50" bestFit="1" customWidth="1"/>
    <col min="26" max="27" width="17.85546875" style="50" bestFit="1" customWidth="1"/>
    <col min="28" max="28" width="17.5703125" style="50" bestFit="1" customWidth="1"/>
    <col min="29" max="29" width="18" style="50" bestFit="1" customWidth="1"/>
    <col min="30" max="30" width="17.85546875" style="50" bestFit="1" customWidth="1"/>
    <col min="31" max="31" width="16.7109375" style="50" bestFit="1" customWidth="1"/>
    <col min="32" max="32" width="16.5703125" style="50" bestFit="1" customWidth="1"/>
    <col min="33" max="33" width="17.5703125" style="50" bestFit="1" customWidth="1"/>
    <col min="34" max="35" width="17" style="50" bestFit="1" customWidth="1"/>
    <col min="36" max="36" width="16.7109375" style="50" bestFit="1" customWidth="1"/>
    <col min="37" max="37" width="17" style="50" bestFit="1" customWidth="1"/>
    <col min="38" max="38" width="16.7109375" style="50" bestFit="1" customWidth="1"/>
    <col min="39" max="39" width="17.5703125" style="50" bestFit="1" customWidth="1"/>
    <col min="40" max="40" width="17" style="50" bestFit="1" customWidth="1"/>
    <col min="41" max="16384" width="14.42578125" style="50"/>
  </cols>
  <sheetData>
    <row r="1" spans="1:45" ht="15" customHeight="1">
      <c r="A1" s="47" t="s">
        <v>436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9"/>
    </row>
    <row r="2" spans="1:45">
      <c r="A2" s="51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3"/>
    </row>
    <row r="3" spans="1:45" ht="45">
      <c r="A3" s="4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3" t="s">
        <v>13</v>
      </c>
      <c r="O3" s="3" t="s">
        <v>14</v>
      </c>
      <c r="P3" s="3" t="s">
        <v>10</v>
      </c>
      <c r="Q3" s="4" t="s">
        <v>15</v>
      </c>
      <c r="R3" s="3" t="s">
        <v>16</v>
      </c>
      <c r="S3" s="4" t="s">
        <v>17</v>
      </c>
      <c r="T3" s="4" t="s">
        <v>18</v>
      </c>
      <c r="U3" s="38" t="s">
        <v>19</v>
      </c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15"/>
      <c r="AS3" s="15"/>
    </row>
    <row r="4" spans="1:45" ht="15" customHeight="1">
      <c r="A4" s="68" t="s">
        <v>305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</row>
    <row r="5" spans="1:45" ht="48.75" customHeight="1">
      <c r="A5" s="7">
        <v>1</v>
      </c>
      <c r="B5" s="24" t="s">
        <v>432</v>
      </c>
      <c r="C5" s="24" t="s">
        <v>306</v>
      </c>
      <c r="D5" s="29" t="s">
        <v>307</v>
      </c>
      <c r="E5" s="57">
        <v>9.1999999999999993</v>
      </c>
      <c r="F5" s="24" t="s">
        <v>308</v>
      </c>
      <c r="G5" s="24" t="s">
        <v>309</v>
      </c>
      <c r="H5" s="7" t="s">
        <v>74</v>
      </c>
      <c r="I5" s="26">
        <v>45467</v>
      </c>
      <c r="J5" s="26">
        <v>45767</v>
      </c>
      <c r="K5" s="22" t="s">
        <v>310</v>
      </c>
      <c r="L5" s="58">
        <v>8410358.8900000006</v>
      </c>
      <c r="M5" s="7">
        <v>1</v>
      </c>
      <c r="N5" s="24" t="s">
        <v>311</v>
      </c>
      <c r="O5" s="24">
        <v>2601</v>
      </c>
      <c r="P5" s="24" t="s">
        <v>28</v>
      </c>
      <c r="Q5" s="24" t="s">
        <v>29</v>
      </c>
      <c r="R5" s="24" t="s">
        <v>312</v>
      </c>
      <c r="S5" s="24" t="s">
        <v>313</v>
      </c>
      <c r="T5" s="33" t="s">
        <v>314</v>
      </c>
      <c r="U5" s="70" t="s">
        <v>396</v>
      </c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</row>
    <row r="6" spans="1:45" ht="48.75" customHeight="1">
      <c r="A6" s="7">
        <f t="shared" ref="A6:A20" si="0">A5+1</f>
        <v>2</v>
      </c>
      <c r="B6" s="24" t="s">
        <v>432</v>
      </c>
      <c r="C6" s="24" t="s">
        <v>315</v>
      </c>
      <c r="D6" s="29" t="s">
        <v>316</v>
      </c>
      <c r="E6" s="57">
        <v>3.52</v>
      </c>
      <c r="F6" s="24" t="s">
        <v>36</v>
      </c>
      <c r="G6" s="24" t="s">
        <v>24</v>
      </c>
      <c r="H6" s="7" t="s">
        <v>25</v>
      </c>
      <c r="I6" s="26">
        <v>45450</v>
      </c>
      <c r="J6" s="26">
        <v>45690</v>
      </c>
      <c r="K6" s="22" t="s">
        <v>310</v>
      </c>
      <c r="L6" s="58">
        <v>5895663.1699999999</v>
      </c>
      <c r="M6" s="7">
        <v>1</v>
      </c>
      <c r="N6" s="24" t="s">
        <v>317</v>
      </c>
      <c r="O6" s="24">
        <v>2280</v>
      </c>
      <c r="P6" s="24" t="s">
        <v>28</v>
      </c>
      <c r="Q6" s="24" t="s">
        <v>38</v>
      </c>
      <c r="R6" s="24" t="s">
        <v>318</v>
      </c>
      <c r="S6" s="24" t="s">
        <v>319</v>
      </c>
      <c r="T6" s="33" t="s">
        <v>314</v>
      </c>
      <c r="U6" s="70" t="s">
        <v>397</v>
      </c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</row>
    <row r="7" spans="1:45" ht="48.75" customHeight="1">
      <c r="A7" s="7">
        <f t="shared" si="0"/>
        <v>3</v>
      </c>
      <c r="B7" s="24" t="s">
        <v>432</v>
      </c>
      <c r="C7" s="24" t="s">
        <v>320</v>
      </c>
      <c r="D7" s="29" t="s">
        <v>321</v>
      </c>
      <c r="E7" s="57">
        <v>20.16</v>
      </c>
      <c r="F7" s="24" t="s">
        <v>322</v>
      </c>
      <c r="G7" s="24" t="s">
        <v>323</v>
      </c>
      <c r="H7" s="7" t="s">
        <v>324</v>
      </c>
      <c r="I7" s="26">
        <v>44837</v>
      </c>
      <c r="J7" s="26">
        <v>45707</v>
      </c>
      <c r="K7" s="22" t="s">
        <v>310</v>
      </c>
      <c r="L7" s="58">
        <v>23556493.370000001</v>
      </c>
      <c r="M7" s="7">
        <v>1</v>
      </c>
      <c r="N7" s="24" t="s">
        <v>325</v>
      </c>
      <c r="O7" s="24">
        <v>2190</v>
      </c>
      <c r="P7" s="24" t="s">
        <v>28</v>
      </c>
      <c r="Q7" s="24" t="s">
        <v>29</v>
      </c>
      <c r="R7" s="24" t="s">
        <v>326</v>
      </c>
      <c r="S7" s="24"/>
      <c r="T7" s="33" t="s">
        <v>327</v>
      </c>
      <c r="U7" s="70" t="s">
        <v>398</v>
      </c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</row>
    <row r="8" spans="1:45" ht="48.75" customHeight="1">
      <c r="A8" s="7">
        <f t="shared" si="0"/>
        <v>4</v>
      </c>
      <c r="B8" s="24" t="s">
        <v>432</v>
      </c>
      <c r="C8" s="24" t="s">
        <v>328</v>
      </c>
      <c r="D8" s="29" t="s">
        <v>329</v>
      </c>
      <c r="E8" s="57">
        <v>23.2</v>
      </c>
      <c r="F8" s="24" t="s">
        <v>330</v>
      </c>
      <c r="G8" s="24" t="s">
        <v>238</v>
      </c>
      <c r="H8" s="7" t="s">
        <v>239</v>
      </c>
      <c r="I8" s="26">
        <v>45222</v>
      </c>
      <c r="J8" s="26">
        <v>45792</v>
      </c>
      <c r="K8" s="22" t="s">
        <v>310</v>
      </c>
      <c r="L8" s="58">
        <v>30980268.039999999</v>
      </c>
      <c r="M8" s="7">
        <v>1</v>
      </c>
      <c r="N8" s="24" t="s">
        <v>331</v>
      </c>
      <c r="O8" s="24">
        <v>1431</v>
      </c>
      <c r="P8" s="24" t="s">
        <v>28</v>
      </c>
      <c r="Q8" s="24" t="s">
        <v>48</v>
      </c>
      <c r="R8" s="24" t="s">
        <v>85</v>
      </c>
      <c r="S8" s="24" t="s">
        <v>332</v>
      </c>
      <c r="T8" s="33" t="s">
        <v>333</v>
      </c>
      <c r="U8" s="70" t="s">
        <v>399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</row>
    <row r="9" spans="1:45" ht="79.5" customHeight="1">
      <c r="A9" s="7">
        <f t="shared" si="0"/>
        <v>5</v>
      </c>
      <c r="B9" s="24" t="s">
        <v>434</v>
      </c>
      <c r="C9" s="24" t="s">
        <v>334</v>
      </c>
      <c r="D9" s="29" t="s">
        <v>335</v>
      </c>
      <c r="E9" s="57">
        <v>0.34499999999999997</v>
      </c>
      <c r="F9" s="24" t="s">
        <v>336</v>
      </c>
      <c r="G9" s="24" t="s">
        <v>167</v>
      </c>
      <c r="H9" s="7" t="s">
        <v>168</v>
      </c>
      <c r="I9" s="26">
        <v>45495</v>
      </c>
      <c r="J9" s="26">
        <v>45782</v>
      </c>
      <c r="K9" s="22" t="s">
        <v>310</v>
      </c>
      <c r="L9" s="58">
        <v>3008187.68</v>
      </c>
      <c r="M9" s="7">
        <v>1</v>
      </c>
      <c r="N9" s="24" t="s">
        <v>337</v>
      </c>
      <c r="O9" s="24">
        <v>2521</v>
      </c>
      <c r="P9" s="24" t="s">
        <v>28</v>
      </c>
      <c r="Q9" s="24" t="s">
        <v>38</v>
      </c>
      <c r="R9" s="24" t="s">
        <v>338</v>
      </c>
      <c r="S9" s="24" t="s">
        <v>339</v>
      </c>
      <c r="T9" s="33"/>
      <c r="U9" s="70" t="s">
        <v>400</v>
      </c>
      <c r="V9" s="70" t="s">
        <v>401</v>
      </c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</row>
    <row r="10" spans="1:45" ht="48.75" customHeight="1">
      <c r="A10" s="7">
        <f t="shared" si="0"/>
        <v>6</v>
      </c>
      <c r="B10" s="24" t="s">
        <v>432</v>
      </c>
      <c r="C10" s="24" t="s">
        <v>105</v>
      </c>
      <c r="D10" s="29" t="s">
        <v>340</v>
      </c>
      <c r="E10" s="57">
        <v>0.24</v>
      </c>
      <c r="F10" s="24" t="s">
        <v>245</v>
      </c>
      <c r="G10" s="24" t="s">
        <v>82</v>
      </c>
      <c r="H10" s="7" t="s">
        <v>108</v>
      </c>
      <c r="I10" s="26">
        <v>45527</v>
      </c>
      <c r="J10" s="26">
        <v>45708</v>
      </c>
      <c r="K10" s="22" t="s">
        <v>310</v>
      </c>
      <c r="L10" s="58">
        <v>3555318.56</v>
      </c>
      <c r="M10" s="7">
        <v>1</v>
      </c>
      <c r="N10" s="24" t="s">
        <v>341</v>
      </c>
      <c r="O10" s="24">
        <v>2351</v>
      </c>
      <c r="P10" s="24" t="s">
        <v>28</v>
      </c>
      <c r="Q10" s="24" t="s">
        <v>160</v>
      </c>
      <c r="R10" s="24" t="s">
        <v>342</v>
      </c>
      <c r="S10" s="24" t="s">
        <v>343</v>
      </c>
      <c r="T10" s="33"/>
      <c r="U10" s="70" t="s">
        <v>402</v>
      </c>
      <c r="V10" s="70" t="s">
        <v>403</v>
      </c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</row>
    <row r="11" spans="1:45" ht="48.75" customHeight="1">
      <c r="A11" s="7">
        <f t="shared" si="0"/>
        <v>7</v>
      </c>
      <c r="B11" s="24" t="s">
        <v>155</v>
      </c>
      <c r="C11" s="24" t="s">
        <v>344</v>
      </c>
      <c r="D11" s="29" t="s">
        <v>345</v>
      </c>
      <c r="E11" s="57" t="s">
        <v>129</v>
      </c>
      <c r="F11" s="24" t="s">
        <v>346</v>
      </c>
      <c r="G11" s="24" t="s">
        <v>24</v>
      </c>
      <c r="H11" s="7" t="s">
        <v>25</v>
      </c>
      <c r="I11" s="26">
        <v>45559</v>
      </c>
      <c r="J11" s="26">
        <v>45859</v>
      </c>
      <c r="K11" s="22" t="s">
        <v>310</v>
      </c>
      <c r="L11" s="58">
        <v>766987.87</v>
      </c>
      <c r="M11" s="7">
        <v>1</v>
      </c>
      <c r="N11" s="24" t="s">
        <v>347</v>
      </c>
      <c r="O11" s="24">
        <v>2404</v>
      </c>
      <c r="P11" s="24" t="s">
        <v>28</v>
      </c>
      <c r="Q11" s="24" t="s">
        <v>129</v>
      </c>
      <c r="R11" s="24" t="s">
        <v>348</v>
      </c>
      <c r="S11" s="24" t="s">
        <v>349</v>
      </c>
      <c r="T11" s="33"/>
      <c r="U11" s="70" t="s">
        <v>404</v>
      </c>
      <c r="V11" s="70" t="s">
        <v>405</v>
      </c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</row>
    <row r="12" spans="1:45" ht="48.75" customHeight="1">
      <c r="A12" s="7">
        <f t="shared" si="0"/>
        <v>8</v>
      </c>
      <c r="B12" s="24" t="s">
        <v>155</v>
      </c>
      <c r="C12" s="24" t="s">
        <v>129</v>
      </c>
      <c r="D12" s="29" t="s">
        <v>350</v>
      </c>
      <c r="E12" s="57" t="s">
        <v>129</v>
      </c>
      <c r="F12" s="24" t="s">
        <v>351</v>
      </c>
      <c r="G12" s="24" t="s">
        <v>91</v>
      </c>
      <c r="H12" s="7" t="s">
        <v>92</v>
      </c>
      <c r="I12" s="26">
        <v>45691</v>
      </c>
      <c r="J12" s="26">
        <v>45872</v>
      </c>
      <c r="K12" s="22" t="s">
        <v>310</v>
      </c>
      <c r="L12" s="58">
        <v>449911.64</v>
      </c>
      <c r="M12" s="7">
        <v>1</v>
      </c>
      <c r="N12" s="24" t="s">
        <v>352</v>
      </c>
      <c r="O12" s="24">
        <v>2897</v>
      </c>
      <c r="P12" s="24" t="s">
        <v>28</v>
      </c>
      <c r="Q12" s="24" t="s">
        <v>129</v>
      </c>
      <c r="R12" s="24" t="s">
        <v>353</v>
      </c>
      <c r="S12" s="24"/>
      <c r="T12" s="33"/>
      <c r="U12" s="70" t="s">
        <v>406</v>
      </c>
      <c r="V12" s="70" t="s">
        <v>407</v>
      </c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</row>
    <row r="13" spans="1:45" ht="48.75" customHeight="1">
      <c r="A13" s="7">
        <f t="shared" si="0"/>
        <v>9</v>
      </c>
      <c r="B13" s="24" t="s">
        <v>433</v>
      </c>
      <c r="C13" s="24" t="s">
        <v>354</v>
      </c>
      <c r="D13" s="29" t="s">
        <v>355</v>
      </c>
      <c r="E13" s="57">
        <v>6.88</v>
      </c>
      <c r="F13" s="24" t="s">
        <v>346</v>
      </c>
      <c r="G13" s="24" t="s">
        <v>24</v>
      </c>
      <c r="H13" s="7" t="s">
        <v>25</v>
      </c>
      <c r="I13" s="26">
        <v>44445</v>
      </c>
      <c r="J13" s="26">
        <v>45728</v>
      </c>
      <c r="K13" s="22" t="s">
        <v>310</v>
      </c>
      <c r="L13" s="58">
        <v>25807464.879999999</v>
      </c>
      <c r="M13" s="7">
        <v>1</v>
      </c>
      <c r="N13" s="24" t="s">
        <v>356</v>
      </c>
      <c r="O13" s="24">
        <v>1174</v>
      </c>
      <c r="P13" s="24" t="s">
        <v>28</v>
      </c>
      <c r="Q13" s="24" t="s">
        <v>38</v>
      </c>
      <c r="R13" s="24" t="s">
        <v>39</v>
      </c>
      <c r="S13" s="24" t="s">
        <v>357</v>
      </c>
      <c r="T13" s="33"/>
      <c r="U13" s="70" t="s">
        <v>408</v>
      </c>
      <c r="V13" s="70" t="s">
        <v>409</v>
      </c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</row>
    <row r="14" spans="1:45" ht="48.75" customHeight="1">
      <c r="A14" s="7">
        <f t="shared" si="0"/>
        <v>10</v>
      </c>
      <c r="B14" s="24" t="s">
        <v>434</v>
      </c>
      <c r="C14" s="24" t="s">
        <v>358</v>
      </c>
      <c r="D14" s="29" t="s">
        <v>359</v>
      </c>
      <c r="E14" s="57">
        <v>33.01</v>
      </c>
      <c r="F14" s="24" t="s">
        <v>360</v>
      </c>
      <c r="G14" s="24" t="s">
        <v>24</v>
      </c>
      <c r="H14" s="7" t="s">
        <v>229</v>
      </c>
      <c r="I14" s="26">
        <v>45441</v>
      </c>
      <c r="J14" s="26">
        <v>45861</v>
      </c>
      <c r="K14" s="22" t="s">
        <v>310</v>
      </c>
      <c r="L14" s="58">
        <v>45465195.979999997</v>
      </c>
      <c r="M14" s="7">
        <v>1</v>
      </c>
      <c r="N14" s="24" t="s">
        <v>361</v>
      </c>
      <c r="O14" s="24">
        <v>2692</v>
      </c>
      <c r="P14" s="24" t="s">
        <v>28</v>
      </c>
      <c r="Q14" s="24" t="s">
        <v>38</v>
      </c>
      <c r="R14" s="24" t="s">
        <v>362</v>
      </c>
      <c r="S14" s="24"/>
      <c r="T14" s="33" t="s">
        <v>314</v>
      </c>
      <c r="U14" s="70" t="s">
        <v>410</v>
      </c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</row>
    <row r="15" spans="1:45" ht="48.75" customHeight="1">
      <c r="A15" s="7">
        <f t="shared" si="0"/>
        <v>11</v>
      </c>
      <c r="B15" s="24" t="s">
        <v>434</v>
      </c>
      <c r="C15" s="24" t="s">
        <v>358</v>
      </c>
      <c r="D15" s="29" t="s">
        <v>363</v>
      </c>
      <c r="E15" s="57">
        <v>24.64</v>
      </c>
      <c r="F15" s="24" t="s">
        <v>364</v>
      </c>
      <c r="G15" s="24" t="s">
        <v>24</v>
      </c>
      <c r="H15" s="7" t="s">
        <v>229</v>
      </c>
      <c r="I15" s="26">
        <v>45441</v>
      </c>
      <c r="J15" s="26">
        <v>45891</v>
      </c>
      <c r="K15" s="22" t="s">
        <v>310</v>
      </c>
      <c r="L15" s="58">
        <v>31059366.289999999</v>
      </c>
      <c r="M15" s="7">
        <v>1</v>
      </c>
      <c r="N15" s="24" t="s">
        <v>365</v>
      </c>
      <c r="O15" s="24">
        <v>2691</v>
      </c>
      <c r="P15" s="24" t="s">
        <v>28</v>
      </c>
      <c r="Q15" s="24" t="s">
        <v>38</v>
      </c>
      <c r="R15" s="24" t="s">
        <v>366</v>
      </c>
      <c r="S15" s="24"/>
      <c r="T15" s="33" t="s">
        <v>314</v>
      </c>
      <c r="U15" s="70" t="s">
        <v>411</v>
      </c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</row>
    <row r="16" spans="1:45" ht="48.75" customHeight="1">
      <c r="A16" s="7">
        <f t="shared" si="0"/>
        <v>12</v>
      </c>
      <c r="B16" s="24" t="s">
        <v>432</v>
      </c>
      <c r="C16" s="24" t="s">
        <v>367</v>
      </c>
      <c r="D16" s="29" t="s">
        <v>368</v>
      </c>
      <c r="E16" s="57">
        <v>5.0999999999999996</v>
      </c>
      <c r="F16" s="24" t="s">
        <v>369</v>
      </c>
      <c r="G16" s="24" t="s">
        <v>24</v>
      </c>
      <c r="H16" s="7" t="s">
        <v>25</v>
      </c>
      <c r="I16" s="26">
        <v>45338</v>
      </c>
      <c r="J16" s="26">
        <v>45878</v>
      </c>
      <c r="K16" s="22" t="s">
        <v>310</v>
      </c>
      <c r="L16" s="58">
        <v>5558156.6900000004</v>
      </c>
      <c r="M16" s="7">
        <v>1</v>
      </c>
      <c r="N16" s="24" t="s">
        <v>370</v>
      </c>
      <c r="O16" s="24">
        <v>1436</v>
      </c>
      <c r="P16" s="24" t="s">
        <v>28</v>
      </c>
      <c r="Q16" s="24" t="s">
        <v>38</v>
      </c>
      <c r="R16" s="24" t="s">
        <v>371</v>
      </c>
      <c r="S16" s="24" t="s">
        <v>372</v>
      </c>
      <c r="T16" s="33" t="s">
        <v>314</v>
      </c>
      <c r="U16" s="70" t="s">
        <v>412</v>
      </c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</row>
    <row r="17" spans="1:43" ht="48.75" customHeight="1">
      <c r="A17" s="7">
        <f t="shared" si="0"/>
        <v>13</v>
      </c>
      <c r="B17" s="24" t="s">
        <v>432</v>
      </c>
      <c r="C17" s="24" t="s">
        <v>373</v>
      </c>
      <c r="D17" s="29" t="s">
        <v>374</v>
      </c>
      <c r="E17" s="57">
        <v>17.96</v>
      </c>
      <c r="F17" s="24" t="s">
        <v>166</v>
      </c>
      <c r="G17" s="24" t="s">
        <v>167</v>
      </c>
      <c r="H17" s="7" t="s">
        <v>168</v>
      </c>
      <c r="I17" s="26">
        <v>45128</v>
      </c>
      <c r="J17" s="26">
        <v>45914</v>
      </c>
      <c r="K17" s="22" t="s">
        <v>310</v>
      </c>
      <c r="L17" s="58">
        <v>13610903.73</v>
      </c>
      <c r="M17" s="7">
        <v>1</v>
      </c>
      <c r="N17" s="24" t="s">
        <v>375</v>
      </c>
      <c r="O17" s="24">
        <v>2282</v>
      </c>
      <c r="P17" s="24" t="s">
        <v>28</v>
      </c>
      <c r="Q17" s="24" t="s">
        <v>376</v>
      </c>
      <c r="R17" s="24" t="s">
        <v>124</v>
      </c>
      <c r="S17" s="24" t="s">
        <v>377</v>
      </c>
      <c r="T17" s="33" t="s">
        <v>378</v>
      </c>
      <c r="U17" s="70" t="s">
        <v>413</v>
      </c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</row>
    <row r="18" spans="1:43" ht="48.75" customHeight="1">
      <c r="A18" s="7">
        <f t="shared" si="0"/>
        <v>14</v>
      </c>
      <c r="B18" s="24" t="s">
        <v>434</v>
      </c>
      <c r="C18" s="24" t="s">
        <v>358</v>
      </c>
      <c r="D18" s="29" t="s">
        <v>379</v>
      </c>
      <c r="E18" s="57">
        <v>26.64</v>
      </c>
      <c r="F18" s="24" t="s">
        <v>380</v>
      </c>
      <c r="G18" s="24" t="s">
        <v>24</v>
      </c>
      <c r="H18" s="7" t="s">
        <v>381</v>
      </c>
      <c r="I18" s="26">
        <v>45446</v>
      </c>
      <c r="J18" s="26">
        <v>45896</v>
      </c>
      <c r="K18" s="22" t="s">
        <v>310</v>
      </c>
      <c r="L18" s="58">
        <v>33263573.260000002</v>
      </c>
      <c r="M18" s="7">
        <v>1</v>
      </c>
      <c r="N18" s="24" t="s">
        <v>382</v>
      </c>
      <c r="O18" s="24">
        <v>2690</v>
      </c>
      <c r="P18" s="24" t="s">
        <v>28</v>
      </c>
      <c r="Q18" s="24" t="s">
        <v>38</v>
      </c>
      <c r="R18" s="24" t="s">
        <v>383</v>
      </c>
      <c r="S18" s="24"/>
      <c r="T18" s="33" t="s">
        <v>314</v>
      </c>
      <c r="U18" s="70" t="s">
        <v>414</v>
      </c>
      <c r="V18" s="70" t="s">
        <v>415</v>
      </c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</row>
    <row r="19" spans="1:43" ht="48.75" customHeight="1">
      <c r="A19" s="7">
        <f t="shared" si="0"/>
        <v>15</v>
      </c>
      <c r="B19" s="24" t="s">
        <v>155</v>
      </c>
      <c r="C19" s="24" t="s">
        <v>129</v>
      </c>
      <c r="D19" s="29" t="s">
        <v>384</v>
      </c>
      <c r="E19" s="57">
        <v>5.16</v>
      </c>
      <c r="F19" s="24" t="s">
        <v>385</v>
      </c>
      <c r="G19" s="24" t="s">
        <v>82</v>
      </c>
      <c r="H19" s="7" t="s">
        <v>108</v>
      </c>
      <c r="I19" s="26">
        <v>44672</v>
      </c>
      <c r="J19" s="26">
        <v>45979</v>
      </c>
      <c r="K19" s="22" t="s">
        <v>310</v>
      </c>
      <c r="L19" s="58">
        <v>5692584.3499999996</v>
      </c>
      <c r="M19" s="7">
        <v>1</v>
      </c>
      <c r="N19" s="24" t="s">
        <v>386</v>
      </c>
      <c r="O19" s="24">
        <v>1752</v>
      </c>
      <c r="P19" s="24" t="s">
        <v>28</v>
      </c>
      <c r="Q19" s="24" t="s">
        <v>160</v>
      </c>
      <c r="R19" s="24" t="s">
        <v>387</v>
      </c>
      <c r="S19" s="24" t="s">
        <v>388</v>
      </c>
      <c r="T19" s="33"/>
      <c r="U19" s="70" t="s">
        <v>416</v>
      </c>
      <c r="V19" s="70" t="s">
        <v>417</v>
      </c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</row>
    <row r="20" spans="1:43" ht="48.75" customHeight="1">
      <c r="A20" s="7">
        <f t="shared" si="0"/>
        <v>16</v>
      </c>
      <c r="B20" s="24" t="s">
        <v>155</v>
      </c>
      <c r="C20" s="24" t="s">
        <v>131</v>
      </c>
      <c r="D20" s="29" t="s">
        <v>389</v>
      </c>
      <c r="E20" s="57" t="s">
        <v>390</v>
      </c>
      <c r="F20" s="24" t="s">
        <v>391</v>
      </c>
      <c r="G20" s="24" t="s">
        <v>82</v>
      </c>
      <c r="H20" s="7" t="s">
        <v>108</v>
      </c>
      <c r="I20" s="26">
        <v>45842</v>
      </c>
      <c r="J20" s="26">
        <v>46022</v>
      </c>
      <c r="K20" s="22" t="s">
        <v>310</v>
      </c>
      <c r="L20" s="58">
        <v>2670688.4300000002</v>
      </c>
      <c r="M20" s="7">
        <v>0.99419999999999997</v>
      </c>
      <c r="N20" s="24" t="s">
        <v>392</v>
      </c>
      <c r="O20" s="24">
        <v>3156</v>
      </c>
      <c r="P20" s="24" t="s">
        <v>28</v>
      </c>
      <c r="Q20" s="24"/>
      <c r="R20" s="24" t="s">
        <v>393</v>
      </c>
      <c r="S20" s="24" t="s">
        <v>394</v>
      </c>
      <c r="T20" s="33"/>
      <c r="U20" s="70" t="s">
        <v>418</v>
      </c>
      <c r="V20" s="70" t="s">
        <v>419</v>
      </c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</row>
    <row r="21" spans="1:43" ht="15" customHeight="1">
      <c r="A21" s="71" t="s">
        <v>395</v>
      </c>
      <c r="B21" s="69"/>
      <c r="C21" s="69"/>
      <c r="D21" s="72"/>
      <c r="E21" s="73">
        <f>SUM(E5:E20)</f>
        <v>176.05499999999998</v>
      </c>
      <c r="F21" s="35"/>
      <c r="G21" s="35"/>
      <c r="H21" s="35"/>
      <c r="I21" s="35"/>
      <c r="J21" s="35"/>
      <c r="K21" s="74"/>
      <c r="L21" s="74">
        <f>SUM(L5:L20)</f>
        <v>239751122.82999998</v>
      </c>
      <c r="M21" s="71" t="s">
        <v>129</v>
      </c>
      <c r="N21" s="69"/>
      <c r="O21" s="69"/>
      <c r="P21" s="69"/>
      <c r="Q21" s="69"/>
      <c r="R21" s="69"/>
      <c r="S21" s="69"/>
      <c r="T21" s="7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B08BE-E321-4E76-BC35-5DC72C5F0F8B}">
  <dimension ref="A1:BA20"/>
  <sheetViews>
    <sheetView tabSelected="1" workbookViewId="0">
      <selection sqref="A1:XFD1048576"/>
    </sheetView>
  </sheetViews>
  <sheetFormatPr defaultColWidth="125.7109375" defaultRowHeight="15"/>
  <cols>
    <col min="1" max="1" width="5.85546875" style="80" bestFit="1" customWidth="1"/>
    <col min="2" max="2" width="15.7109375" style="80" bestFit="1" customWidth="1"/>
    <col min="3" max="3" width="14.85546875" style="80" bestFit="1" customWidth="1"/>
    <col min="4" max="4" width="121.42578125" style="80" bestFit="1" customWidth="1"/>
    <col min="5" max="5" width="39.140625" style="80" bestFit="1" customWidth="1"/>
    <col min="6" max="6" width="11.42578125" style="80" bestFit="1" customWidth="1"/>
    <col min="7" max="7" width="30.7109375" style="80" customWidth="1"/>
    <col min="8" max="8" width="51" style="80" customWidth="1"/>
    <col min="9" max="9" width="26.85546875" style="80" customWidth="1"/>
    <col min="10" max="10" width="12" style="80" customWidth="1"/>
    <col min="11" max="11" width="11.85546875" style="80" customWidth="1"/>
    <col min="12" max="12" width="12.7109375" style="80" customWidth="1"/>
    <col min="13" max="13" width="24.42578125" style="80" customWidth="1"/>
    <col min="14" max="14" width="34.7109375" style="80" customWidth="1"/>
    <col min="15" max="15" width="18.85546875" style="80" customWidth="1"/>
    <col min="16" max="16" width="20.85546875" style="80" customWidth="1"/>
    <col min="17" max="17" width="24.85546875" style="80" customWidth="1"/>
    <col min="18" max="18" width="7.5703125" style="80" customWidth="1"/>
    <col min="19" max="19" width="18.85546875" style="80" customWidth="1"/>
    <col min="20" max="20" width="15.5703125" style="80" customWidth="1"/>
    <col min="21" max="21" width="20.5703125" style="80" customWidth="1"/>
    <col min="22" max="22" width="19.85546875" style="80" customWidth="1"/>
    <col min="23" max="23" width="11.85546875" style="80" customWidth="1"/>
    <col min="24" max="24" width="10.7109375" style="80" customWidth="1"/>
    <col min="25" max="25" width="34.5703125" style="80" customWidth="1"/>
    <col min="26" max="26" width="19.42578125" style="80" customWidth="1"/>
    <col min="27" max="27" width="122.140625" style="80" customWidth="1"/>
    <col min="28" max="28" width="122.42578125" style="80" customWidth="1"/>
    <col min="29" max="29" width="14.85546875" style="80" customWidth="1"/>
    <col min="30" max="30" width="22.140625" style="80" customWidth="1"/>
    <col min="31" max="31" width="13.5703125" style="80" bestFit="1" customWidth="1"/>
    <col min="32" max="71" width="16" style="80" customWidth="1"/>
    <col min="72" max="16384" width="125.7109375" style="80"/>
  </cols>
  <sheetData>
    <row r="1" spans="1:53" ht="15" customHeight="1">
      <c r="A1" s="75" t="s">
        <v>436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14"/>
      <c r="AF1" s="14"/>
      <c r="AG1" s="14"/>
      <c r="AH1" s="14"/>
      <c r="AI1" s="14"/>
      <c r="AJ1" s="14"/>
    </row>
    <row r="2" spans="1:53" ht="15" customHeight="1">
      <c r="A2" s="77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14"/>
      <c r="AF2" s="14"/>
      <c r="AG2" s="14"/>
      <c r="AH2" s="14"/>
      <c r="AI2" s="14"/>
      <c r="AJ2" s="14"/>
    </row>
    <row r="3" spans="1:53" ht="45">
      <c r="A3" s="2" t="s">
        <v>0</v>
      </c>
      <c r="B3" s="2" t="s">
        <v>1</v>
      </c>
      <c r="C3" s="2" t="s">
        <v>2</v>
      </c>
      <c r="D3" s="2" t="s">
        <v>3</v>
      </c>
      <c r="E3" s="4" t="s">
        <v>437</v>
      </c>
      <c r="F3" s="3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438</v>
      </c>
      <c r="M3" s="4" t="s">
        <v>439</v>
      </c>
      <c r="N3" s="4" t="s">
        <v>10</v>
      </c>
      <c r="O3" s="81" t="s">
        <v>440</v>
      </c>
      <c r="P3" s="81" t="s">
        <v>441</v>
      </c>
      <c r="Q3" s="4" t="s">
        <v>11</v>
      </c>
      <c r="R3" s="4" t="s">
        <v>12</v>
      </c>
      <c r="S3" s="4" t="s">
        <v>442</v>
      </c>
      <c r="T3" s="4" t="s">
        <v>443</v>
      </c>
      <c r="U3" s="4" t="s">
        <v>444</v>
      </c>
      <c r="V3" s="4" t="s">
        <v>445</v>
      </c>
      <c r="W3" s="3" t="s">
        <v>13</v>
      </c>
      <c r="X3" s="3" t="s">
        <v>14</v>
      </c>
      <c r="Y3" s="3" t="s">
        <v>10</v>
      </c>
      <c r="Z3" s="4" t="s">
        <v>15</v>
      </c>
      <c r="AA3" s="3" t="s">
        <v>16</v>
      </c>
      <c r="AB3" s="4" t="s">
        <v>17</v>
      </c>
      <c r="AC3" s="4" t="s">
        <v>446</v>
      </c>
      <c r="AD3" s="4" t="s">
        <v>18</v>
      </c>
      <c r="AE3" s="38" t="s">
        <v>19</v>
      </c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</row>
    <row r="4" spans="1:53">
      <c r="A4" s="6">
        <v>1</v>
      </c>
      <c r="B4" s="23" t="s">
        <v>432</v>
      </c>
      <c r="C4" s="23" t="s">
        <v>420</v>
      </c>
      <c r="D4" s="29" t="s">
        <v>421</v>
      </c>
      <c r="E4" s="82" t="s">
        <v>422</v>
      </c>
      <c r="F4" s="83">
        <v>21</v>
      </c>
      <c r="G4" s="24" t="s">
        <v>423</v>
      </c>
      <c r="H4" s="23" t="s">
        <v>91</v>
      </c>
      <c r="I4" s="6" t="s">
        <v>92</v>
      </c>
      <c r="J4" s="26">
        <v>44690</v>
      </c>
      <c r="K4" s="26">
        <v>46183</v>
      </c>
      <c r="L4" s="26">
        <v>46243</v>
      </c>
      <c r="M4" s="26">
        <v>46243</v>
      </c>
      <c r="N4" s="84" t="s">
        <v>26</v>
      </c>
      <c r="O4" s="85"/>
      <c r="P4" s="85">
        <f>ROUND(Q4/440000,0)</f>
        <v>23</v>
      </c>
      <c r="Q4" s="28">
        <v>10274588.380000001</v>
      </c>
      <c r="R4" s="86">
        <v>0.99050000000000005</v>
      </c>
      <c r="S4" s="31">
        <v>8074695.25</v>
      </c>
      <c r="T4" s="87">
        <f t="shared" ref="T4:T7" si="0">S4/Q4</f>
        <v>0.78588990150863824</v>
      </c>
      <c r="U4" s="28">
        <f t="shared" ref="U4:U20" si="1">Q4-S4</f>
        <v>2199893.1300000008</v>
      </c>
      <c r="V4" s="28"/>
      <c r="W4" s="23" t="s">
        <v>424</v>
      </c>
      <c r="X4" s="23">
        <v>1293</v>
      </c>
      <c r="Y4" s="23" t="s">
        <v>28</v>
      </c>
      <c r="Z4" s="23" t="s">
        <v>29</v>
      </c>
      <c r="AA4" s="23" t="s">
        <v>425</v>
      </c>
      <c r="AB4" s="24" t="s">
        <v>426</v>
      </c>
      <c r="AC4" s="88"/>
      <c r="AD4" s="88"/>
      <c r="AE4" s="120" t="s">
        <v>542</v>
      </c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/>
      <c r="AW4" s="118"/>
      <c r="AX4" s="118"/>
      <c r="AY4" s="118"/>
      <c r="AZ4" s="118"/>
      <c r="BA4" s="118"/>
    </row>
    <row r="5" spans="1:53">
      <c r="A5" s="6">
        <f>A4+1</f>
        <v>2</v>
      </c>
      <c r="B5" s="23" t="s">
        <v>432</v>
      </c>
      <c r="C5" s="24" t="s">
        <v>427</v>
      </c>
      <c r="D5" s="29" t="s">
        <v>428</v>
      </c>
      <c r="E5" s="57" t="s">
        <v>429</v>
      </c>
      <c r="F5" s="83">
        <v>17.7</v>
      </c>
      <c r="G5" s="24" t="s">
        <v>430</v>
      </c>
      <c r="H5" s="89" t="s">
        <v>99</v>
      </c>
      <c r="I5" s="6" t="s">
        <v>100</v>
      </c>
      <c r="J5" s="26">
        <v>45737</v>
      </c>
      <c r="K5" s="27">
        <v>46097</v>
      </c>
      <c r="L5" s="27">
        <v>46163</v>
      </c>
      <c r="M5" s="27">
        <v>46164</v>
      </c>
      <c r="N5" s="90" t="s">
        <v>26</v>
      </c>
      <c r="O5" s="24"/>
      <c r="P5" s="89"/>
      <c r="Q5" s="28">
        <v>26205254.800000001</v>
      </c>
      <c r="R5" s="86">
        <v>0.9516</v>
      </c>
      <c r="S5" s="31">
        <v>23148933.710000001</v>
      </c>
      <c r="T5" s="87">
        <f t="shared" si="0"/>
        <v>0.88336991518204966</v>
      </c>
      <c r="U5" s="28">
        <f t="shared" si="1"/>
        <v>3056321.09</v>
      </c>
      <c r="V5" s="23"/>
      <c r="W5" s="91" t="s">
        <v>431</v>
      </c>
      <c r="X5" s="23">
        <v>2317</v>
      </c>
      <c r="Y5" s="23" t="s">
        <v>28</v>
      </c>
      <c r="Z5" s="92" t="s">
        <v>29</v>
      </c>
      <c r="AA5" s="92" t="s">
        <v>94</v>
      </c>
      <c r="AB5" s="24"/>
      <c r="AC5" s="24"/>
      <c r="AD5" s="24" t="s">
        <v>314</v>
      </c>
      <c r="AE5" s="120" t="s">
        <v>543</v>
      </c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9"/>
      <c r="AW5" s="119"/>
      <c r="AX5" s="119"/>
      <c r="AY5" s="119"/>
      <c r="AZ5" s="119"/>
      <c r="BA5" s="119"/>
    </row>
    <row r="6" spans="1:53" ht="30">
      <c r="A6" s="6">
        <f t="shared" ref="A6:A20" si="2">A5+1</f>
        <v>3</v>
      </c>
      <c r="B6" s="23" t="s">
        <v>433</v>
      </c>
      <c r="C6" s="23" t="s">
        <v>447</v>
      </c>
      <c r="D6" s="29" t="s">
        <v>448</v>
      </c>
      <c r="E6" s="93" t="s">
        <v>449</v>
      </c>
      <c r="F6" s="83">
        <v>27.4</v>
      </c>
      <c r="G6" s="24" t="s">
        <v>450</v>
      </c>
      <c r="H6" s="6" t="s">
        <v>24</v>
      </c>
      <c r="I6" s="6" t="s">
        <v>25</v>
      </c>
      <c r="J6" s="26">
        <v>44556</v>
      </c>
      <c r="K6" s="11">
        <v>46116</v>
      </c>
      <c r="L6" s="26">
        <v>46297</v>
      </c>
      <c r="M6" s="11"/>
      <c r="N6" s="28" t="s">
        <v>451</v>
      </c>
      <c r="O6" s="89"/>
      <c r="P6" s="85">
        <f t="shared" ref="P6:P11" si="3">ROUND(Q6/440000,0)</f>
        <v>291</v>
      </c>
      <c r="Q6" s="28">
        <v>127907115.28</v>
      </c>
      <c r="R6" s="94">
        <v>0.89380000000000004</v>
      </c>
      <c r="S6" s="31">
        <v>95059747.680000007</v>
      </c>
      <c r="T6" s="87">
        <f t="shared" si="0"/>
        <v>0.74319358600110563</v>
      </c>
      <c r="U6" s="28">
        <f t="shared" si="1"/>
        <v>32847367.599999994</v>
      </c>
      <c r="V6" s="28"/>
      <c r="W6" s="23" t="s">
        <v>452</v>
      </c>
      <c r="X6" s="23">
        <v>1277</v>
      </c>
      <c r="Y6" s="23" t="s">
        <v>28</v>
      </c>
      <c r="Z6" s="24" t="s">
        <v>38</v>
      </c>
      <c r="AA6" s="7" t="s">
        <v>453</v>
      </c>
      <c r="AB6" s="7" t="s">
        <v>454</v>
      </c>
      <c r="AC6" s="88"/>
      <c r="AD6" s="88"/>
      <c r="AE6" s="120" t="s">
        <v>544</v>
      </c>
      <c r="AF6" s="120" t="s">
        <v>545</v>
      </c>
      <c r="AG6" s="120" t="s">
        <v>546</v>
      </c>
      <c r="AH6" s="120" t="s">
        <v>547</v>
      </c>
      <c r="AI6" s="120" t="s">
        <v>548</v>
      </c>
      <c r="AJ6" s="120" t="s">
        <v>549</v>
      </c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9"/>
      <c r="AW6" s="119"/>
      <c r="AX6" s="119"/>
      <c r="AY6" s="119"/>
      <c r="AZ6" s="119"/>
      <c r="BA6" s="119"/>
    </row>
    <row r="7" spans="1:53" ht="45">
      <c r="A7" s="6">
        <f t="shared" si="2"/>
        <v>4</v>
      </c>
      <c r="B7" s="23" t="s">
        <v>433</v>
      </c>
      <c r="C7" s="23" t="s">
        <v>455</v>
      </c>
      <c r="D7" s="29" t="s">
        <v>456</v>
      </c>
      <c r="E7" s="93" t="s">
        <v>457</v>
      </c>
      <c r="F7" s="83">
        <v>7.45</v>
      </c>
      <c r="G7" s="24" t="s">
        <v>458</v>
      </c>
      <c r="H7" s="6" t="s">
        <v>24</v>
      </c>
      <c r="I7" s="6" t="s">
        <v>25</v>
      </c>
      <c r="J7" s="26">
        <v>44711</v>
      </c>
      <c r="K7" s="11">
        <v>46151</v>
      </c>
      <c r="L7" s="95">
        <v>46243</v>
      </c>
      <c r="M7" s="11">
        <v>46063</v>
      </c>
      <c r="N7" s="28" t="s">
        <v>451</v>
      </c>
      <c r="O7" s="89">
        <v>123</v>
      </c>
      <c r="P7" s="85">
        <f t="shared" si="3"/>
        <v>107</v>
      </c>
      <c r="Q7" s="28">
        <v>46954308.259999998</v>
      </c>
      <c r="R7" s="94">
        <v>0.90639999999999998</v>
      </c>
      <c r="S7" s="31">
        <v>40304273.969999999</v>
      </c>
      <c r="T7" s="87">
        <f t="shared" si="0"/>
        <v>0.85837222320097284</v>
      </c>
      <c r="U7" s="28">
        <f t="shared" si="1"/>
        <v>6650034.2899999991</v>
      </c>
      <c r="V7" s="28"/>
      <c r="W7" s="23" t="s">
        <v>459</v>
      </c>
      <c r="X7" s="23">
        <v>1465</v>
      </c>
      <c r="Y7" s="23" t="s">
        <v>28</v>
      </c>
      <c r="Z7" s="24" t="s">
        <v>38</v>
      </c>
      <c r="AA7" s="24" t="s">
        <v>175</v>
      </c>
      <c r="AB7" s="7" t="s">
        <v>460</v>
      </c>
      <c r="AC7" s="23"/>
      <c r="AD7" s="23" t="s">
        <v>461</v>
      </c>
      <c r="AE7" s="120" t="s">
        <v>550</v>
      </c>
      <c r="AF7" s="120" t="s">
        <v>551</v>
      </c>
      <c r="AG7" s="120" t="s">
        <v>552</v>
      </c>
      <c r="AH7" s="120" t="s">
        <v>553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9"/>
      <c r="AW7" s="119"/>
      <c r="AX7" s="119"/>
      <c r="AY7" s="119"/>
      <c r="AZ7" s="119"/>
      <c r="BA7" s="119"/>
    </row>
    <row r="8" spans="1:53">
      <c r="A8" s="6">
        <f t="shared" si="2"/>
        <v>5</v>
      </c>
      <c r="B8" s="23" t="s">
        <v>433</v>
      </c>
      <c r="C8" s="23" t="s">
        <v>131</v>
      </c>
      <c r="D8" s="29" t="s">
        <v>462</v>
      </c>
      <c r="E8" s="82" t="s">
        <v>463</v>
      </c>
      <c r="F8" s="83">
        <v>26.2</v>
      </c>
      <c r="G8" s="24" t="s">
        <v>464</v>
      </c>
      <c r="H8" s="6" t="s">
        <v>465</v>
      </c>
      <c r="I8" s="6" t="s">
        <v>100</v>
      </c>
      <c r="J8" s="26">
        <v>44978</v>
      </c>
      <c r="K8" s="26">
        <v>46113</v>
      </c>
      <c r="L8" s="26">
        <v>46191</v>
      </c>
      <c r="M8" s="26">
        <v>46022</v>
      </c>
      <c r="N8" s="96" t="s">
        <v>466</v>
      </c>
      <c r="O8" s="85"/>
      <c r="P8" s="85">
        <f t="shared" si="3"/>
        <v>195</v>
      </c>
      <c r="Q8" s="28">
        <v>85744229.950000003</v>
      </c>
      <c r="R8" s="94">
        <v>0.39419999999999999</v>
      </c>
      <c r="S8" s="31"/>
      <c r="T8" s="25" t="s">
        <v>129</v>
      </c>
      <c r="U8" s="28">
        <f t="shared" si="1"/>
        <v>85744229.950000003</v>
      </c>
      <c r="V8" s="28"/>
      <c r="W8" s="23" t="s">
        <v>467</v>
      </c>
      <c r="X8" s="23" t="s">
        <v>468</v>
      </c>
      <c r="Y8" s="23"/>
      <c r="Z8" s="24" t="s">
        <v>38</v>
      </c>
      <c r="AA8" s="24" t="s">
        <v>469</v>
      </c>
      <c r="AB8" s="7" t="s">
        <v>470</v>
      </c>
      <c r="AC8" s="97"/>
      <c r="AD8" s="97" t="s">
        <v>471</v>
      </c>
      <c r="AE8" s="120" t="s">
        <v>554</v>
      </c>
      <c r="AF8" s="120" t="s">
        <v>555</v>
      </c>
      <c r="AG8" s="120" t="s">
        <v>556</v>
      </c>
      <c r="AH8" s="120" t="s">
        <v>557</v>
      </c>
      <c r="AI8" s="120" t="s">
        <v>558</v>
      </c>
      <c r="AJ8" s="120" t="s">
        <v>559</v>
      </c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9"/>
      <c r="AW8" s="119"/>
      <c r="AX8" s="119"/>
      <c r="AY8" s="119"/>
      <c r="AZ8" s="119"/>
      <c r="BA8" s="119"/>
    </row>
    <row r="9" spans="1:53" ht="45">
      <c r="A9" s="6">
        <f t="shared" si="2"/>
        <v>6</v>
      </c>
      <c r="B9" s="23" t="s">
        <v>433</v>
      </c>
      <c r="C9" s="24" t="s">
        <v>472</v>
      </c>
      <c r="D9" s="29" t="s">
        <v>473</v>
      </c>
      <c r="E9" s="82" t="s">
        <v>463</v>
      </c>
      <c r="F9" s="83">
        <f>1.24+7.4</f>
        <v>8.64</v>
      </c>
      <c r="G9" s="24" t="s">
        <v>36</v>
      </c>
      <c r="H9" s="6" t="s">
        <v>24</v>
      </c>
      <c r="I9" s="6" t="s">
        <v>25</v>
      </c>
      <c r="J9" s="26">
        <v>45233</v>
      </c>
      <c r="K9" s="26">
        <v>46086</v>
      </c>
      <c r="L9" s="26">
        <v>46213</v>
      </c>
      <c r="M9" s="26"/>
      <c r="N9" s="84" t="s">
        <v>451</v>
      </c>
      <c r="O9" s="89">
        <v>28</v>
      </c>
      <c r="P9" s="85">
        <f t="shared" si="3"/>
        <v>34</v>
      </c>
      <c r="Q9" s="98">
        <v>15066305.51</v>
      </c>
      <c r="R9" s="94">
        <v>0.68659999999999999</v>
      </c>
      <c r="S9" s="31">
        <v>7842260.7599999998</v>
      </c>
      <c r="T9" s="87">
        <f t="shared" ref="T9:T11" si="4">S9/Q9</f>
        <v>0.52051650982351549</v>
      </c>
      <c r="U9" s="28">
        <f t="shared" si="1"/>
        <v>7224044.75</v>
      </c>
      <c r="V9" s="28"/>
      <c r="W9" s="23" t="s">
        <v>474</v>
      </c>
      <c r="X9" s="23">
        <v>2253</v>
      </c>
      <c r="Y9" s="23" t="s">
        <v>28</v>
      </c>
      <c r="Z9" s="24" t="s">
        <v>38</v>
      </c>
      <c r="AA9" s="24" t="s">
        <v>318</v>
      </c>
      <c r="AB9" s="7" t="s">
        <v>475</v>
      </c>
      <c r="AC9" s="88"/>
      <c r="AD9" s="88"/>
      <c r="AE9" s="120" t="s">
        <v>560</v>
      </c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9"/>
      <c r="AW9" s="119"/>
      <c r="AX9" s="119"/>
      <c r="AY9" s="119"/>
      <c r="AZ9" s="119"/>
      <c r="BA9" s="119"/>
    </row>
    <row r="10" spans="1:53" ht="45">
      <c r="A10" s="6">
        <f t="shared" si="2"/>
        <v>7</v>
      </c>
      <c r="B10" s="23" t="s">
        <v>433</v>
      </c>
      <c r="C10" s="23" t="s">
        <v>476</v>
      </c>
      <c r="D10" s="29" t="s">
        <v>477</v>
      </c>
      <c r="E10" s="82" t="s">
        <v>478</v>
      </c>
      <c r="F10" s="83">
        <v>1.62</v>
      </c>
      <c r="G10" s="24" t="s">
        <v>385</v>
      </c>
      <c r="H10" s="6" t="s">
        <v>82</v>
      </c>
      <c r="I10" s="6" t="s">
        <v>108</v>
      </c>
      <c r="J10" s="26">
        <v>45349</v>
      </c>
      <c r="K10" s="26">
        <v>46131</v>
      </c>
      <c r="L10" s="26">
        <v>46236</v>
      </c>
      <c r="M10" s="26"/>
      <c r="N10" s="28" t="s">
        <v>451</v>
      </c>
      <c r="O10" s="89">
        <v>22</v>
      </c>
      <c r="P10" s="85">
        <f t="shared" si="3"/>
        <v>37</v>
      </c>
      <c r="Q10" s="99">
        <v>16172108.65</v>
      </c>
      <c r="R10" s="94">
        <v>0.96209999999999996</v>
      </c>
      <c r="S10" s="31">
        <v>13441036.810000001</v>
      </c>
      <c r="T10" s="87">
        <f t="shared" si="4"/>
        <v>0.83112456766730913</v>
      </c>
      <c r="U10" s="28">
        <f t="shared" si="1"/>
        <v>2731071.84</v>
      </c>
      <c r="V10" s="28"/>
      <c r="W10" s="23" t="s">
        <v>479</v>
      </c>
      <c r="X10" s="23">
        <v>2078</v>
      </c>
      <c r="Y10" s="23" t="s">
        <v>28</v>
      </c>
      <c r="Z10" s="24" t="s">
        <v>38</v>
      </c>
      <c r="AA10" s="24" t="s">
        <v>480</v>
      </c>
      <c r="AB10" s="7" t="s">
        <v>481</v>
      </c>
      <c r="AC10" s="24"/>
      <c r="AD10" s="24"/>
      <c r="AE10" s="120" t="s">
        <v>561</v>
      </c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9"/>
      <c r="AW10" s="119"/>
      <c r="AX10" s="119"/>
      <c r="AY10" s="119"/>
      <c r="AZ10" s="119"/>
      <c r="BA10" s="119"/>
    </row>
    <row r="11" spans="1:53" ht="45">
      <c r="A11" s="6">
        <f t="shared" si="2"/>
        <v>8</v>
      </c>
      <c r="B11" s="23" t="s">
        <v>433</v>
      </c>
      <c r="C11" s="91" t="s">
        <v>482</v>
      </c>
      <c r="D11" s="100" t="s">
        <v>483</v>
      </c>
      <c r="E11" s="82" t="s">
        <v>478</v>
      </c>
      <c r="F11" s="83">
        <v>32.299999999999997</v>
      </c>
      <c r="G11" s="101" t="s">
        <v>385</v>
      </c>
      <c r="H11" s="6" t="s">
        <v>82</v>
      </c>
      <c r="I11" s="6" t="s">
        <v>108</v>
      </c>
      <c r="J11" s="26">
        <v>45604</v>
      </c>
      <c r="K11" s="26">
        <v>46054</v>
      </c>
      <c r="L11" s="26">
        <v>46147</v>
      </c>
      <c r="M11" s="26"/>
      <c r="N11" s="28" t="s">
        <v>451</v>
      </c>
      <c r="O11" s="89"/>
      <c r="P11" s="85">
        <f t="shared" si="3"/>
        <v>231</v>
      </c>
      <c r="Q11" s="102">
        <v>101477225.48</v>
      </c>
      <c r="R11" s="94">
        <v>0.22720000000000001</v>
      </c>
      <c r="S11" s="31">
        <v>23053445.82</v>
      </c>
      <c r="T11" s="87">
        <f t="shared" si="4"/>
        <v>0.22717851922886451</v>
      </c>
      <c r="U11" s="28">
        <f t="shared" si="1"/>
        <v>78423779.659999996</v>
      </c>
      <c r="V11" s="28"/>
      <c r="W11" s="91" t="s">
        <v>484</v>
      </c>
      <c r="X11" s="91">
        <v>12</v>
      </c>
      <c r="Y11" s="7" t="s">
        <v>28</v>
      </c>
      <c r="Z11" s="90" t="s">
        <v>38</v>
      </c>
      <c r="AA11" s="90" t="s">
        <v>485</v>
      </c>
      <c r="AB11" s="7" t="s">
        <v>486</v>
      </c>
      <c r="AC11" s="101"/>
      <c r="AD11" s="101"/>
      <c r="AE11" s="120" t="s">
        <v>565</v>
      </c>
      <c r="AF11" s="120" t="s">
        <v>566</v>
      </c>
      <c r="AG11" s="120" t="s">
        <v>567</v>
      </c>
      <c r="AH11" s="120" t="s">
        <v>568</v>
      </c>
      <c r="AI11" s="120" t="s">
        <v>569</v>
      </c>
      <c r="AJ11" s="120" t="s">
        <v>570</v>
      </c>
      <c r="AK11" s="120" t="s">
        <v>572</v>
      </c>
      <c r="AL11" s="120" t="s">
        <v>571</v>
      </c>
      <c r="AM11" s="120" t="s">
        <v>573</v>
      </c>
      <c r="AN11" s="120" t="s">
        <v>574</v>
      </c>
      <c r="AO11" s="120" t="s">
        <v>576</v>
      </c>
      <c r="AP11" s="120" t="s">
        <v>575</v>
      </c>
      <c r="AQ11" s="118"/>
      <c r="AR11" s="118"/>
      <c r="AS11" s="118"/>
      <c r="AT11" s="118"/>
      <c r="AU11" s="118"/>
      <c r="AV11" s="119"/>
      <c r="AW11" s="119"/>
      <c r="AX11" s="119"/>
      <c r="AY11" s="119"/>
      <c r="AZ11" s="119"/>
      <c r="BA11" s="119"/>
    </row>
    <row r="12" spans="1:53" ht="30">
      <c r="A12" s="6">
        <f t="shared" si="2"/>
        <v>9</v>
      </c>
      <c r="B12" s="23" t="s">
        <v>433</v>
      </c>
      <c r="C12" s="101" t="s">
        <v>210</v>
      </c>
      <c r="D12" s="100" t="s">
        <v>487</v>
      </c>
      <c r="E12" s="103" t="s">
        <v>488</v>
      </c>
      <c r="F12" s="83">
        <v>5.19</v>
      </c>
      <c r="G12" s="7" t="s">
        <v>346</v>
      </c>
      <c r="H12" s="6" t="s">
        <v>24</v>
      </c>
      <c r="I12" s="6" t="s">
        <v>25</v>
      </c>
      <c r="J12" s="10">
        <v>45797</v>
      </c>
      <c r="K12" s="104">
        <v>46312</v>
      </c>
      <c r="L12" s="105">
        <v>46312</v>
      </c>
      <c r="M12" s="104"/>
      <c r="N12" s="7" t="s">
        <v>451</v>
      </c>
      <c r="O12" s="106"/>
      <c r="P12" s="106"/>
      <c r="Q12" s="107">
        <v>41900000</v>
      </c>
      <c r="R12" s="94">
        <v>4.1000000000000003E-3</v>
      </c>
      <c r="S12" s="31">
        <v>0</v>
      </c>
      <c r="T12" s="6" t="s">
        <v>129</v>
      </c>
      <c r="U12" s="28">
        <f t="shared" si="1"/>
        <v>41900000</v>
      </c>
      <c r="V12" s="108"/>
      <c r="W12" s="108" t="s">
        <v>489</v>
      </c>
      <c r="X12" s="108">
        <v>3025</v>
      </c>
      <c r="Y12" s="23" t="s">
        <v>28</v>
      </c>
      <c r="Z12" s="109"/>
      <c r="AA12" s="109" t="s">
        <v>318</v>
      </c>
      <c r="AB12" s="7" t="s">
        <v>490</v>
      </c>
      <c r="AC12" s="109"/>
      <c r="AD12" s="109"/>
      <c r="AE12" s="121" t="s">
        <v>577</v>
      </c>
      <c r="AF12" s="121" t="s">
        <v>578</v>
      </c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9"/>
      <c r="AW12" s="119"/>
      <c r="AX12" s="119"/>
      <c r="AY12" s="119"/>
      <c r="AZ12" s="119"/>
      <c r="BA12" s="119"/>
    </row>
    <row r="13" spans="1:53" ht="28.5">
      <c r="A13" s="6">
        <f t="shared" si="2"/>
        <v>10</v>
      </c>
      <c r="B13" s="23" t="s">
        <v>432</v>
      </c>
      <c r="C13" s="23" t="s">
        <v>491</v>
      </c>
      <c r="D13" s="29" t="s">
        <v>492</v>
      </c>
      <c r="E13" s="82" t="s">
        <v>493</v>
      </c>
      <c r="F13" s="83">
        <v>5.56</v>
      </c>
      <c r="G13" s="24" t="s">
        <v>494</v>
      </c>
      <c r="H13" s="23" t="s">
        <v>45</v>
      </c>
      <c r="I13" s="6" t="s">
        <v>46</v>
      </c>
      <c r="J13" s="26">
        <v>45313</v>
      </c>
      <c r="K13" s="26">
        <v>46125</v>
      </c>
      <c r="L13" s="26">
        <v>46248</v>
      </c>
      <c r="M13" s="26"/>
      <c r="N13" s="12" t="s">
        <v>451</v>
      </c>
      <c r="O13" s="89"/>
      <c r="P13" s="85">
        <f t="shared" ref="P13:P16" si="5">ROUND(Q13/440000,0)</f>
        <v>19</v>
      </c>
      <c r="Q13" s="28">
        <v>8472744.1500000004</v>
      </c>
      <c r="R13" s="110">
        <v>21.62</v>
      </c>
      <c r="S13" s="31">
        <v>1831407.42</v>
      </c>
      <c r="T13" s="87">
        <f t="shared" ref="T13:T20" si="6">S13/Q13</f>
        <v>0.21615280569991008</v>
      </c>
      <c r="U13" s="28">
        <f t="shared" si="1"/>
        <v>6641336.7300000004</v>
      </c>
      <c r="V13" s="28"/>
      <c r="W13" s="23" t="s">
        <v>495</v>
      </c>
      <c r="X13" s="23">
        <v>1320</v>
      </c>
      <c r="Y13" s="23" t="s">
        <v>28</v>
      </c>
      <c r="Z13" s="24" t="s">
        <v>29</v>
      </c>
      <c r="AA13" s="24" t="s">
        <v>496</v>
      </c>
      <c r="AB13" s="24" t="s">
        <v>497</v>
      </c>
      <c r="AC13" s="79"/>
      <c r="AD13" s="79" t="s">
        <v>498</v>
      </c>
      <c r="AE13" s="120" t="s">
        <v>579</v>
      </c>
      <c r="AF13" s="120" t="s">
        <v>562</v>
      </c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9"/>
      <c r="AW13" s="119"/>
      <c r="AX13" s="119"/>
      <c r="AY13" s="119"/>
      <c r="AZ13" s="119"/>
      <c r="BA13" s="119"/>
    </row>
    <row r="14" spans="1:53">
      <c r="A14" s="6">
        <f t="shared" si="2"/>
        <v>11</v>
      </c>
      <c r="B14" s="23" t="s">
        <v>432</v>
      </c>
      <c r="C14" s="7" t="s">
        <v>499</v>
      </c>
      <c r="D14" s="8" t="s">
        <v>500</v>
      </c>
      <c r="E14" s="111" t="s">
        <v>429</v>
      </c>
      <c r="F14" s="83">
        <v>25.7</v>
      </c>
      <c r="G14" s="7" t="s">
        <v>501</v>
      </c>
      <c r="H14" s="23" t="s">
        <v>134</v>
      </c>
      <c r="I14" s="6" t="s">
        <v>100</v>
      </c>
      <c r="J14" s="26">
        <v>45315</v>
      </c>
      <c r="K14" s="26">
        <v>46156</v>
      </c>
      <c r="L14" s="26" t="s">
        <v>502</v>
      </c>
      <c r="M14" s="26"/>
      <c r="N14" s="12" t="s">
        <v>451</v>
      </c>
      <c r="O14" s="112"/>
      <c r="P14" s="85">
        <f t="shared" si="5"/>
        <v>52</v>
      </c>
      <c r="Q14" s="28">
        <v>23085365.16</v>
      </c>
      <c r="R14" s="86">
        <v>0.85729999999999995</v>
      </c>
      <c r="S14" s="31">
        <v>19790619.449999999</v>
      </c>
      <c r="T14" s="87">
        <f t="shared" si="6"/>
        <v>0.85727989628213441</v>
      </c>
      <c r="U14" s="28">
        <f t="shared" si="1"/>
        <v>3294745.7100000009</v>
      </c>
      <c r="V14" s="28"/>
      <c r="W14" s="113" t="s">
        <v>503</v>
      </c>
      <c r="X14" s="6">
        <v>2283</v>
      </c>
      <c r="Y14" s="6" t="s">
        <v>28</v>
      </c>
      <c r="Z14" s="7" t="s">
        <v>29</v>
      </c>
      <c r="AA14" s="7" t="s">
        <v>504</v>
      </c>
      <c r="AB14" s="7"/>
      <c r="AC14" s="90"/>
      <c r="AD14" s="90" t="s">
        <v>505</v>
      </c>
      <c r="AE14" s="120" t="s">
        <v>563</v>
      </c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9"/>
      <c r="AW14" s="119"/>
      <c r="AX14" s="119"/>
      <c r="AY14" s="119"/>
      <c r="AZ14" s="119"/>
      <c r="BA14" s="119"/>
    </row>
    <row r="15" spans="1:53">
      <c r="A15" s="6">
        <f t="shared" si="2"/>
        <v>12</v>
      </c>
      <c r="B15" s="23" t="s">
        <v>432</v>
      </c>
      <c r="C15" s="7" t="s">
        <v>506</v>
      </c>
      <c r="D15" s="8" t="s">
        <v>540</v>
      </c>
      <c r="E15" s="111" t="s">
        <v>507</v>
      </c>
      <c r="F15" s="83">
        <v>36.61</v>
      </c>
      <c r="G15" s="7" t="s">
        <v>508</v>
      </c>
      <c r="H15" s="23" t="s">
        <v>24</v>
      </c>
      <c r="I15" s="6" t="s">
        <v>229</v>
      </c>
      <c r="J15" s="26">
        <v>45433</v>
      </c>
      <c r="K15" s="26">
        <v>46111</v>
      </c>
      <c r="L15" s="26">
        <v>46147</v>
      </c>
      <c r="M15" s="26"/>
      <c r="N15" s="114" t="s">
        <v>451</v>
      </c>
      <c r="O15" s="112">
        <v>15</v>
      </c>
      <c r="P15" s="85">
        <f t="shared" si="5"/>
        <v>90</v>
      </c>
      <c r="Q15" s="12">
        <v>39663580.009999998</v>
      </c>
      <c r="R15" s="86">
        <v>0.94550000000000001</v>
      </c>
      <c r="S15" s="31">
        <v>37501021.159999996</v>
      </c>
      <c r="T15" s="87">
        <f t="shared" si="6"/>
        <v>0.94547746699983271</v>
      </c>
      <c r="U15" s="28">
        <f t="shared" si="1"/>
        <v>2162558.8500000015</v>
      </c>
      <c r="V15" s="28"/>
      <c r="W15" s="6" t="s">
        <v>509</v>
      </c>
      <c r="X15" s="6">
        <v>2687</v>
      </c>
      <c r="Y15" s="6" t="s">
        <v>28</v>
      </c>
      <c r="Z15" s="7" t="s">
        <v>29</v>
      </c>
      <c r="AA15" s="7" t="s">
        <v>510</v>
      </c>
      <c r="AB15" s="7"/>
      <c r="AC15" s="24"/>
      <c r="AD15" s="24" t="s">
        <v>314</v>
      </c>
      <c r="AE15" s="120" t="s">
        <v>580</v>
      </c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9"/>
      <c r="AW15" s="119"/>
      <c r="AX15" s="119"/>
      <c r="AY15" s="119"/>
      <c r="AZ15" s="119"/>
      <c r="BA15" s="119"/>
    </row>
    <row r="16" spans="1:53" ht="30">
      <c r="A16" s="6">
        <f t="shared" si="2"/>
        <v>13</v>
      </c>
      <c r="B16" s="23" t="s">
        <v>432</v>
      </c>
      <c r="C16" s="6" t="s">
        <v>511</v>
      </c>
      <c r="D16" s="8" t="s">
        <v>512</v>
      </c>
      <c r="E16" s="111" t="s">
        <v>463</v>
      </c>
      <c r="F16" s="83">
        <v>16.75</v>
      </c>
      <c r="G16" s="7" t="s">
        <v>513</v>
      </c>
      <c r="H16" s="23" t="s">
        <v>514</v>
      </c>
      <c r="I16" s="6" t="s">
        <v>515</v>
      </c>
      <c r="J16" s="26">
        <v>45525</v>
      </c>
      <c r="K16" s="26">
        <v>46119</v>
      </c>
      <c r="L16" s="26">
        <v>46209</v>
      </c>
      <c r="M16" s="26"/>
      <c r="N16" s="12" t="s">
        <v>451</v>
      </c>
      <c r="O16" s="112"/>
      <c r="P16" s="85">
        <f t="shared" si="5"/>
        <v>49</v>
      </c>
      <c r="Q16" s="12">
        <v>21525552.93</v>
      </c>
      <c r="R16" s="86">
        <v>0.92110000000000003</v>
      </c>
      <c r="S16" s="31">
        <v>19473393.359999999</v>
      </c>
      <c r="T16" s="87">
        <f t="shared" si="6"/>
        <v>0.90466402527853673</v>
      </c>
      <c r="U16" s="28">
        <f t="shared" si="1"/>
        <v>2052159.5700000003</v>
      </c>
      <c r="V16" s="28"/>
      <c r="W16" s="6" t="s">
        <v>516</v>
      </c>
      <c r="X16" s="23">
        <v>2252</v>
      </c>
      <c r="Y16" s="6" t="s">
        <v>28</v>
      </c>
      <c r="Z16" s="7" t="s">
        <v>29</v>
      </c>
      <c r="AA16" s="7" t="s">
        <v>510</v>
      </c>
      <c r="AB16" s="90" t="s">
        <v>517</v>
      </c>
      <c r="AC16" s="24"/>
      <c r="AD16" s="24" t="s">
        <v>314</v>
      </c>
      <c r="AE16" s="120" t="s">
        <v>582</v>
      </c>
      <c r="AF16" s="120" t="s">
        <v>581</v>
      </c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9"/>
      <c r="AW16" s="119"/>
      <c r="AX16" s="119"/>
      <c r="AY16" s="119"/>
      <c r="AZ16" s="119"/>
      <c r="BA16" s="119"/>
    </row>
    <row r="17" spans="1:53" ht="45">
      <c r="A17" s="6">
        <f t="shared" si="2"/>
        <v>14</v>
      </c>
      <c r="B17" s="23" t="s">
        <v>432</v>
      </c>
      <c r="C17" s="6" t="s">
        <v>518</v>
      </c>
      <c r="D17" s="8" t="s">
        <v>519</v>
      </c>
      <c r="E17" s="111" t="s">
        <v>488</v>
      </c>
      <c r="F17" s="83">
        <v>2.2000000000000002</v>
      </c>
      <c r="G17" s="7" t="s">
        <v>458</v>
      </c>
      <c r="H17" s="6" t="s">
        <v>24</v>
      </c>
      <c r="I17" s="6" t="s">
        <v>25</v>
      </c>
      <c r="J17" s="26">
        <v>45567</v>
      </c>
      <c r="K17" s="11">
        <v>46287</v>
      </c>
      <c r="L17" s="11">
        <v>46462</v>
      </c>
      <c r="M17" s="11"/>
      <c r="N17" s="12" t="s">
        <v>451</v>
      </c>
      <c r="O17" s="112"/>
      <c r="P17" s="85"/>
      <c r="Q17" s="12">
        <v>104400000</v>
      </c>
      <c r="R17" s="110">
        <v>32.81</v>
      </c>
      <c r="S17" s="31">
        <v>34252744.659999996</v>
      </c>
      <c r="T17" s="87">
        <f t="shared" si="6"/>
        <v>0.32809142394636009</v>
      </c>
      <c r="U17" s="28">
        <f t="shared" si="1"/>
        <v>70147255.340000004</v>
      </c>
      <c r="V17" s="28"/>
      <c r="W17" s="6" t="s">
        <v>520</v>
      </c>
      <c r="X17" s="23">
        <v>1760</v>
      </c>
      <c r="Y17" s="6" t="s">
        <v>28</v>
      </c>
      <c r="Z17" s="7" t="s">
        <v>129</v>
      </c>
      <c r="AA17" s="7" t="s">
        <v>521</v>
      </c>
      <c r="AB17" s="90" t="s">
        <v>522</v>
      </c>
      <c r="AC17" s="7"/>
      <c r="AD17" s="7"/>
      <c r="AE17" s="120" t="s">
        <v>583</v>
      </c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9"/>
      <c r="AW17" s="119"/>
      <c r="AX17" s="119"/>
      <c r="AY17" s="119"/>
      <c r="AZ17" s="119"/>
      <c r="BA17" s="119"/>
    </row>
    <row r="18" spans="1:53" ht="30">
      <c r="A18" s="6">
        <f t="shared" si="2"/>
        <v>15</v>
      </c>
      <c r="B18" s="23" t="s">
        <v>432</v>
      </c>
      <c r="C18" s="6" t="s">
        <v>523</v>
      </c>
      <c r="D18" s="8" t="s">
        <v>524</v>
      </c>
      <c r="E18" s="111" t="s">
        <v>525</v>
      </c>
      <c r="F18" s="83">
        <v>10.86</v>
      </c>
      <c r="G18" s="7" t="s">
        <v>526</v>
      </c>
      <c r="H18" s="6" t="s">
        <v>238</v>
      </c>
      <c r="I18" s="6" t="s">
        <v>239</v>
      </c>
      <c r="J18" s="26">
        <v>45644</v>
      </c>
      <c r="K18" s="11">
        <v>46144</v>
      </c>
      <c r="L18" s="11">
        <v>46182</v>
      </c>
      <c r="M18" s="11"/>
      <c r="N18" s="114" t="s">
        <v>451</v>
      </c>
      <c r="O18" s="112"/>
      <c r="P18" s="85"/>
      <c r="Q18" s="12">
        <v>17572129.800000001</v>
      </c>
      <c r="R18" s="86">
        <v>0.67700000000000005</v>
      </c>
      <c r="S18" s="31">
        <v>10721227.48</v>
      </c>
      <c r="T18" s="87">
        <f t="shared" si="6"/>
        <v>0.61012680887435744</v>
      </c>
      <c r="U18" s="28">
        <f t="shared" si="1"/>
        <v>6850902.3200000003</v>
      </c>
      <c r="V18" s="28"/>
      <c r="W18" s="6" t="s">
        <v>527</v>
      </c>
      <c r="X18" s="23">
        <v>1314</v>
      </c>
      <c r="Y18" s="6" t="s">
        <v>28</v>
      </c>
      <c r="Z18" s="7" t="s">
        <v>29</v>
      </c>
      <c r="AA18" s="7" t="s">
        <v>528</v>
      </c>
      <c r="AB18" s="7"/>
      <c r="AC18" s="7"/>
      <c r="AD18" s="7" t="s">
        <v>314</v>
      </c>
      <c r="AE18" s="120" t="s">
        <v>585</v>
      </c>
      <c r="AF18" s="120" t="s">
        <v>584</v>
      </c>
      <c r="AG18" s="120" t="s">
        <v>586</v>
      </c>
      <c r="AH18" s="120" t="s">
        <v>587</v>
      </c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9"/>
      <c r="AW18" s="119"/>
      <c r="AX18" s="119"/>
      <c r="AY18" s="119"/>
      <c r="AZ18" s="119"/>
      <c r="BA18" s="119"/>
    </row>
    <row r="19" spans="1:53">
      <c r="A19" s="6">
        <f t="shared" si="2"/>
        <v>16</v>
      </c>
      <c r="B19" s="23" t="s">
        <v>432</v>
      </c>
      <c r="C19" s="24" t="s">
        <v>529</v>
      </c>
      <c r="D19" s="29" t="s">
        <v>541</v>
      </c>
      <c r="E19" s="57" t="s">
        <v>530</v>
      </c>
      <c r="F19" s="83">
        <v>17.66</v>
      </c>
      <c r="G19" s="24" t="s">
        <v>531</v>
      </c>
      <c r="H19" s="23" t="s">
        <v>24</v>
      </c>
      <c r="I19" s="6" t="s">
        <v>25</v>
      </c>
      <c r="J19" s="10">
        <v>45671</v>
      </c>
      <c r="K19" s="11">
        <v>46211</v>
      </c>
      <c r="L19" s="11">
        <v>46249</v>
      </c>
      <c r="M19" s="11"/>
      <c r="N19" s="12" t="s">
        <v>451</v>
      </c>
      <c r="O19" s="115"/>
      <c r="P19" s="115"/>
      <c r="Q19" s="12">
        <v>30599099.800000001</v>
      </c>
      <c r="R19" s="86">
        <v>0.39090000000000003</v>
      </c>
      <c r="S19" s="31">
        <v>12420076.130000001</v>
      </c>
      <c r="T19" s="87">
        <f t="shared" si="6"/>
        <v>0.40589678164322995</v>
      </c>
      <c r="U19" s="28">
        <f t="shared" si="1"/>
        <v>18179023.670000002</v>
      </c>
      <c r="V19" s="23"/>
      <c r="W19" s="23" t="s">
        <v>532</v>
      </c>
      <c r="X19" s="23">
        <v>1328</v>
      </c>
      <c r="Y19" s="23" t="s">
        <v>28</v>
      </c>
      <c r="Z19" s="7" t="s">
        <v>29</v>
      </c>
      <c r="AA19" s="6" t="s">
        <v>533</v>
      </c>
      <c r="AB19" s="24"/>
      <c r="AC19" s="24"/>
      <c r="AD19" s="24"/>
      <c r="AE19" s="120" t="s">
        <v>564</v>
      </c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9"/>
      <c r="AW19" s="119"/>
      <c r="AX19" s="119"/>
      <c r="AY19" s="119"/>
      <c r="AZ19" s="119"/>
      <c r="BA19" s="119"/>
    </row>
    <row r="20" spans="1:53">
      <c r="A20" s="6">
        <f t="shared" si="2"/>
        <v>17</v>
      </c>
      <c r="B20" s="23" t="s">
        <v>432</v>
      </c>
      <c r="C20" s="24" t="s">
        <v>534</v>
      </c>
      <c r="D20" s="8" t="s">
        <v>535</v>
      </c>
      <c r="E20" s="57" t="s">
        <v>536</v>
      </c>
      <c r="F20" s="83">
        <v>4.12</v>
      </c>
      <c r="G20" s="24" t="s">
        <v>537</v>
      </c>
      <c r="H20" s="23" t="s">
        <v>213</v>
      </c>
      <c r="I20" s="6" t="s">
        <v>64</v>
      </c>
      <c r="J20" s="10">
        <v>45715</v>
      </c>
      <c r="K20" s="27">
        <v>46320</v>
      </c>
      <c r="L20" s="27">
        <v>46144</v>
      </c>
      <c r="M20" s="27"/>
      <c r="N20" s="90" t="s">
        <v>451</v>
      </c>
      <c r="O20" s="89"/>
      <c r="P20" s="89"/>
      <c r="Q20" s="28">
        <v>4704789.5599999996</v>
      </c>
      <c r="R20" s="86">
        <v>0.86129999999999995</v>
      </c>
      <c r="S20" s="31">
        <v>4052093.97</v>
      </c>
      <c r="T20" s="87">
        <f t="shared" si="6"/>
        <v>0.86126997144586437</v>
      </c>
      <c r="U20" s="28">
        <f t="shared" si="1"/>
        <v>652695.58999999939</v>
      </c>
      <c r="V20" s="23"/>
      <c r="W20" s="116" t="s">
        <v>538</v>
      </c>
      <c r="X20" s="23">
        <v>1445</v>
      </c>
      <c r="Y20" s="23" t="s">
        <v>28</v>
      </c>
      <c r="Z20" s="117"/>
      <c r="AA20" s="117" t="s">
        <v>539</v>
      </c>
      <c r="AB20" s="7"/>
      <c r="AC20" s="24"/>
      <c r="AD20" s="24"/>
      <c r="AE20" s="120" t="s">
        <v>588</v>
      </c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9"/>
      <c r="AW20" s="119"/>
      <c r="AX20" s="119"/>
      <c r="AY20" s="119"/>
      <c r="AZ20" s="119"/>
      <c r="BA20" s="119"/>
    </row>
  </sheetData>
  <conditionalFormatting sqref="K4:K11 M4:M11">
    <cfRule type="expression" dxfId="7" priority="13">
      <formula>AND(K4&lt;&gt;"", K4&lt;TODAY())</formula>
    </cfRule>
    <cfRule type="expression" dxfId="6" priority="14">
      <formula>AND(K4&lt;&gt;"", K4-TODAY()&lt;=60)</formula>
    </cfRule>
    <cfRule type="expression" dxfId="5" priority="15">
      <formula>AND(K4&lt;&gt;"", K4-TODAY()&gt;60, K4-TODAY()&lt;=180)</formula>
    </cfRule>
    <cfRule type="expression" dxfId="4" priority="16">
      <formula>AND(K4&lt;&gt;"", K4-TODAY()&gt;180)</formula>
    </cfRule>
  </conditionalFormatting>
  <conditionalFormatting sqref="K13:K20 M14:M20">
    <cfRule type="expression" dxfId="3" priority="9">
      <formula>AND(K13&lt;&gt;"", K13&lt;TODAY())</formula>
    </cfRule>
    <cfRule type="expression" dxfId="2" priority="10">
      <formula>AND(K13&lt;&gt;"", K13-TODAY()&lt;=60)</formula>
    </cfRule>
    <cfRule type="expression" dxfId="1" priority="11">
      <formula>AND(K13&lt;&gt;"", K13-TODAY()&gt;60, K13-TODAY()&lt;=180)</formula>
    </cfRule>
    <cfRule type="expression" dxfId="0" priority="12">
      <formula>AND(K13&lt;&gt;"", K13-TODAY()&gt;180)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OBRAS 2023</vt:lpstr>
      <vt:lpstr>OBRAS 2024</vt:lpstr>
      <vt:lpstr>OBRAS 2025</vt:lpstr>
      <vt:lpstr>OBRAS EM ANDAMENTO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Furtado De Lima</dc:creator>
  <cp:lastModifiedBy>João Paulo Furtado De Lima</cp:lastModifiedBy>
  <dcterms:created xsi:type="dcterms:W3CDTF">2026-04-29T16:43:17Z</dcterms:created>
  <dcterms:modified xsi:type="dcterms:W3CDTF">2026-05-01T11:21:46Z</dcterms:modified>
</cp:coreProperties>
</file>